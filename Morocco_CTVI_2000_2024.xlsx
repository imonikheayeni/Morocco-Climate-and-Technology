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C:\Users\IAyeni\Downloads\"/>
    </mc:Choice>
  </mc:AlternateContent>
  <xr:revisionPtr revIDLastSave="3" documentId="8_{296D2D3E-1CAE-4ABD-B5E6-28D7E68DA439}" xr6:coauthVersionLast="47" xr6:coauthVersionMax="47" xr10:uidLastSave="{3C68362E-ED78-4891-8E7C-CFF0C7B5FC8A}"/>
  <bookViews>
    <workbookView xWindow="57480" yWindow="690" windowWidth="29040" windowHeight="15720" tabRatio="500" firstSheet="5" activeTab="6" xr2:uid="{00000000-000D-0000-FFFF-FFFF00000000}"/>
  </bookViews>
  <sheets>
    <sheet name="README" sheetId="1" r:id="rId1"/>
    <sheet name="Weights" sheetId="2" r:id="rId2"/>
    <sheet name="National_Annual" sheetId="3" r:id="rId3"/>
    <sheet name="National_Normalized" sheetId="4" r:id="rId4"/>
    <sheet name="National_CTVI" sheetId="5" r:id="rId5"/>
    <sheet name="Regional_Indicators" sheetId="6" r:id="rId6"/>
    <sheet name="Regional_Normalized" sheetId="7" r:id="rId7"/>
    <sheet name="Regional_CTVI" sheetId="8" r:id="rId8"/>
    <sheet name="Variable_Definitions" sheetId="9" r:id="rId9"/>
    <sheet name="QA_Log" sheetId="10" r:id="rId10"/>
    <sheet name="Sources" sheetId="11" r:id="rId11"/>
  </sheets>
  <definedNames>
    <definedName name="wAC">Weights!$C$6</definedName>
    <definedName name="wE">Weights!$C$4</definedName>
    <definedName name="wS">Weights!$C$5</definedName>
    <definedName name="wT">Weights!$C$7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5" i="8" l="1"/>
  <c r="B15" i="8"/>
  <c r="E14" i="8"/>
  <c r="D14" i="8"/>
  <c r="C14" i="8"/>
  <c r="B14" i="8"/>
  <c r="F14" i="8" s="1"/>
  <c r="D13" i="8"/>
  <c r="D11" i="8"/>
  <c r="B11" i="8"/>
  <c r="E10" i="8"/>
  <c r="D10" i="8"/>
  <c r="C10" i="8"/>
  <c r="B10" i="8"/>
  <c r="F10" i="8" s="1"/>
  <c r="D9" i="8"/>
  <c r="D7" i="8"/>
  <c r="B7" i="8"/>
  <c r="F7" i="8" s="1"/>
  <c r="E6" i="8"/>
  <c r="D6" i="8"/>
  <c r="C6" i="8"/>
  <c r="B6" i="8"/>
  <c r="F6" i="8" s="1"/>
  <c r="D5" i="8"/>
  <c r="L15" i="7"/>
  <c r="K15" i="7"/>
  <c r="J15" i="7"/>
  <c r="I15" i="7"/>
  <c r="E16" i="8" s="1"/>
  <c r="H15" i="7"/>
  <c r="G15" i="7"/>
  <c r="F15" i="7"/>
  <c r="C16" i="8" s="1"/>
  <c r="E15" i="7"/>
  <c r="D16" i="8" s="1"/>
  <c r="D15" i="7"/>
  <c r="C15" i="7"/>
  <c r="B15" i="7"/>
  <c r="B16" i="8" s="1"/>
  <c r="F16" i="8" s="1"/>
  <c r="L14" i="7"/>
  <c r="C15" i="8" s="1"/>
  <c r="K14" i="7"/>
  <c r="J14" i="7"/>
  <c r="I14" i="7"/>
  <c r="E15" i="8" s="1"/>
  <c r="H14" i="7"/>
  <c r="G14" i="7"/>
  <c r="F14" i="7"/>
  <c r="E14" i="7"/>
  <c r="D14" i="7"/>
  <c r="C14" i="7"/>
  <c r="B14" i="7"/>
  <c r="L13" i="7"/>
  <c r="K13" i="7"/>
  <c r="J13" i="7"/>
  <c r="I13" i="7"/>
  <c r="H13" i="7"/>
  <c r="G13" i="7"/>
  <c r="F13" i="7"/>
  <c r="E13" i="7"/>
  <c r="D13" i="7"/>
  <c r="C13" i="7"/>
  <c r="B13" i="7"/>
  <c r="L12" i="7"/>
  <c r="K12" i="7"/>
  <c r="J12" i="7"/>
  <c r="I12" i="7"/>
  <c r="E13" i="8" s="1"/>
  <c r="H12" i="7"/>
  <c r="G12" i="7"/>
  <c r="F12" i="7"/>
  <c r="C13" i="8" s="1"/>
  <c r="E12" i="7"/>
  <c r="D12" i="7"/>
  <c r="C12" i="7"/>
  <c r="B12" i="7"/>
  <c r="B13" i="8" s="1"/>
  <c r="F13" i="8" s="1"/>
  <c r="L11" i="7"/>
  <c r="K11" i="7"/>
  <c r="J11" i="7"/>
  <c r="I11" i="7"/>
  <c r="E12" i="8" s="1"/>
  <c r="H11" i="7"/>
  <c r="G11" i="7"/>
  <c r="F11" i="7"/>
  <c r="C12" i="8" s="1"/>
  <c r="E11" i="7"/>
  <c r="D12" i="8" s="1"/>
  <c r="D11" i="7"/>
  <c r="C11" i="7"/>
  <c r="B11" i="7"/>
  <c r="B12" i="8" s="1"/>
  <c r="F12" i="8" s="1"/>
  <c r="L10" i="7"/>
  <c r="C11" i="8" s="1"/>
  <c r="K10" i="7"/>
  <c r="J10" i="7"/>
  <c r="I10" i="7"/>
  <c r="E11" i="8" s="1"/>
  <c r="H10" i="7"/>
  <c r="G10" i="7"/>
  <c r="F10" i="7"/>
  <c r="E10" i="7"/>
  <c r="D10" i="7"/>
  <c r="C10" i="7"/>
  <c r="B10" i="7"/>
  <c r="L9" i="7"/>
  <c r="K9" i="7"/>
  <c r="J9" i="7"/>
  <c r="I9" i="7"/>
  <c r="H9" i="7"/>
  <c r="G9" i="7"/>
  <c r="F9" i="7"/>
  <c r="E9" i="7"/>
  <c r="D9" i="7"/>
  <c r="C9" i="7"/>
  <c r="B9" i="7"/>
  <c r="L8" i="7"/>
  <c r="K8" i="7"/>
  <c r="J8" i="7"/>
  <c r="I8" i="7"/>
  <c r="E9" i="8" s="1"/>
  <c r="H8" i="7"/>
  <c r="G8" i="7"/>
  <c r="F8" i="7"/>
  <c r="C9" i="8" s="1"/>
  <c r="E8" i="7"/>
  <c r="D8" i="7"/>
  <c r="C8" i="7"/>
  <c r="B8" i="7"/>
  <c r="B9" i="8" s="1"/>
  <c r="F9" i="8" s="1"/>
  <c r="L7" i="7"/>
  <c r="K7" i="7"/>
  <c r="J7" i="7"/>
  <c r="I7" i="7"/>
  <c r="E8" i="8" s="1"/>
  <c r="H7" i="7"/>
  <c r="G7" i="7"/>
  <c r="F7" i="7"/>
  <c r="C8" i="8" s="1"/>
  <c r="E7" i="7"/>
  <c r="D8" i="8" s="1"/>
  <c r="D7" i="7"/>
  <c r="C7" i="7"/>
  <c r="B7" i="7"/>
  <c r="B8" i="8" s="1"/>
  <c r="F8" i="8" s="1"/>
  <c r="L6" i="7"/>
  <c r="C7" i="8" s="1"/>
  <c r="K6" i="7"/>
  <c r="J6" i="7"/>
  <c r="I6" i="7"/>
  <c r="E7" i="8" s="1"/>
  <c r="H6" i="7"/>
  <c r="G6" i="7"/>
  <c r="F6" i="7"/>
  <c r="E6" i="7"/>
  <c r="D6" i="7"/>
  <c r="C6" i="7"/>
  <c r="B6" i="7"/>
  <c r="L5" i="7"/>
  <c r="K5" i="7"/>
  <c r="J5" i="7"/>
  <c r="I5" i="7"/>
  <c r="H5" i="7"/>
  <c r="G5" i="7"/>
  <c r="F5" i="7"/>
  <c r="E5" i="7"/>
  <c r="D5" i="7"/>
  <c r="C5" i="7"/>
  <c r="B5" i="7"/>
  <c r="L4" i="7"/>
  <c r="C5" i="8" s="1"/>
  <c r="K4" i="7"/>
  <c r="J4" i="7"/>
  <c r="I4" i="7"/>
  <c r="E5" i="8" s="1"/>
  <c r="H4" i="7"/>
  <c r="G4" i="7"/>
  <c r="F4" i="7"/>
  <c r="E4" i="7"/>
  <c r="D4" i="7"/>
  <c r="C4" i="7"/>
  <c r="B4" i="7"/>
  <c r="B5" i="8" s="1"/>
  <c r="F5" i="8" s="1"/>
  <c r="P8" i="5"/>
  <c r="O8" i="5"/>
  <c r="AA7" i="5"/>
  <c r="Z7" i="5"/>
  <c r="Y7" i="5"/>
  <c r="X7" i="5"/>
  <c r="W7" i="5"/>
  <c r="V7" i="5"/>
  <c r="U7" i="5"/>
  <c r="T7" i="5"/>
  <c r="S7" i="5"/>
  <c r="R7" i="5"/>
  <c r="I7" i="5"/>
  <c r="H7" i="5"/>
  <c r="G7" i="5"/>
  <c r="F7" i="5"/>
  <c r="E7" i="5"/>
  <c r="D7" i="5"/>
  <c r="C7" i="5"/>
  <c r="U6" i="5"/>
  <c r="AA5" i="5"/>
  <c r="AA10" i="5" s="1"/>
  <c r="Z5" i="5"/>
  <c r="Z10" i="5" s="1"/>
  <c r="Y5" i="5"/>
  <c r="Y10" i="5" s="1"/>
  <c r="X5" i="5"/>
  <c r="H5" i="5"/>
  <c r="G5" i="5"/>
  <c r="F5" i="5"/>
  <c r="E5" i="5"/>
  <c r="D5" i="5"/>
  <c r="C5" i="5"/>
  <c r="AD25" i="4"/>
  <c r="AC25" i="4"/>
  <c r="AB25" i="4"/>
  <c r="AA25" i="4"/>
  <c r="Z25" i="4"/>
  <c r="Y25" i="4"/>
  <c r="X25" i="4"/>
  <c r="W25" i="4"/>
  <c r="V25" i="4"/>
  <c r="U25" i="4"/>
  <c r="T25" i="4"/>
  <c r="S25" i="4"/>
  <c r="R25" i="4"/>
  <c r="Q25" i="4"/>
  <c r="P25" i="4"/>
  <c r="O25" i="4"/>
  <c r="N25" i="4"/>
  <c r="M25" i="4"/>
  <c r="L25" i="4"/>
  <c r="K25" i="4"/>
  <c r="J25" i="4"/>
  <c r="I25" i="4"/>
  <c r="H25" i="4"/>
  <c r="G25" i="4"/>
  <c r="F25" i="4"/>
  <c r="AD24" i="4"/>
  <c r="AC24" i="4"/>
  <c r="AB24" i="4"/>
  <c r="AA24" i="4"/>
  <c r="Z24" i="4"/>
  <c r="Y24" i="4"/>
  <c r="X24" i="4"/>
  <c r="W24" i="4"/>
  <c r="V24" i="4"/>
  <c r="U24" i="4"/>
  <c r="T24" i="4"/>
  <c r="S24" i="4"/>
  <c r="R24" i="4"/>
  <c r="Q24" i="4"/>
  <c r="P24" i="4"/>
  <c r="O24" i="4"/>
  <c r="N24" i="4"/>
  <c r="M24" i="4"/>
  <c r="L24" i="4"/>
  <c r="K24" i="4"/>
  <c r="J24" i="4"/>
  <c r="I24" i="4"/>
  <c r="H24" i="4"/>
  <c r="G24" i="4"/>
  <c r="F24" i="4"/>
  <c r="AD23" i="4"/>
  <c r="AC23" i="4"/>
  <c r="AB23" i="4"/>
  <c r="AA23" i="4"/>
  <c r="Z23" i="4"/>
  <c r="Y23" i="4"/>
  <c r="X23" i="4"/>
  <c r="W23" i="4"/>
  <c r="V23" i="4"/>
  <c r="U23" i="4"/>
  <c r="T23" i="4"/>
  <c r="S23" i="4"/>
  <c r="R23" i="4"/>
  <c r="Q23" i="4"/>
  <c r="P23" i="4"/>
  <c r="O23" i="4"/>
  <c r="N23" i="4"/>
  <c r="M23" i="4"/>
  <c r="L23" i="4"/>
  <c r="K23" i="4"/>
  <c r="J23" i="4"/>
  <c r="I23" i="4"/>
  <c r="H23" i="4"/>
  <c r="G23" i="4"/>
  <c r="F23" i="4"/>
  <c r="AD22" i="4"/>
  <c r="AC22" i="4"/>
  <c r="AB22" i="4"/>
  <c r="AA22" i="4"/>
  <c r="Z22" i="4"/>
  <c r="Y22" i="4"/>
  <c r="X22" i="4"/>
  <c r="W22" i="4"/>
  <c r="V22" i="4"/>
  <c r="U22" i="4"/>
  <c r="T22" i="4"/>
  <c r="S22" i="4"/>
  <c r="R22" i="4"/>
  <c r="Q22" i="4"/>
  <c r="P22" i="4"/>
  <c r="O22" i="4"/>
  <c r="N22" i="4"/>
  <c r="M22" i="4"/>
  <c r="L22" i="4"/>
  <c r="K22" i="4"/>
  <c r="J22" i="4"/>
  <c r="I22" i="4"/>
  <c r="H22" i="4"/>
  <c r="G22" i="4"/>
  <c r="F22" i="4"/>
  <c r="AD21" i="4"/>
  <c r="AC21" i="4"/>
  <c r="AB21" i="4"/>
  <c r="AA21" i="4"/>
  <c r="Z21" i="4"/>
  <c r="Y21" i="4"/>
  <c r="X21" i="4"/>
  <c r="W21" i="4"/>
  <c r="V21" i="4"/>
  <c r="S8" i="5" s="1"/>
  <c r="U21" i="4"/>
  <c r="R8" i="5" s="1"/>
  <c r="T21" i="4"/>
  <c r="Q8" i="5" s="1"/>
  <c r="S21" i="4"/>
  <c r="R21" i="4"/>
  <c r="Q21" i="4"/>
  <c r="P21" i="4"/>
  <c r="O21" i="4"/>
  <c r="N21" i="4"/>
  <c r="M21" i="4"/>
  <c r="L21" i="4"/>
  <c r="K21" i="4"/>
  <c r="J21" i="4"/>
  <c r="I21" i="4"/>
  <c r="H21" i="4"/>
  <c r="G21" i="4"/>
  <c r="F21" i="4"/>
  <c r="AD20" i="4"/>
  <c r="AC20" i="4"/>
  <c r="AB20" i="4"/>
  <c r="AA20" i="4"/>
  <c r="Z20" i="4"/>
  <c r="Y20" i="4"/>
  <c r="V8" i="5" s="1"/>
  <c r="X20" i="4"/>
  <c r="U8" i="5" s="1"/>
  <c r="W20" i="4"/>
  <c r="T8" i="5" s="1"/>
  <c r="V20" i="4"/>
  <c r="U20" i="4"/>
  <c r="T20" i="4"/>
  <c r="S20" i="4"/>
  <c r="R20" i="4"/>
  <c r="Q20" i="4"/>
  <c r="P20" i="4"/>
  <c r="O20" i="4"/>
  <c r="N20" i="4"/>
  <c r="M20" i="4"/>
  <c r="L20" i="4"/>
  <c r="K20" i="4"/>
  <c r="J20" i="4"/>
  <c r="I20" i="4"/>
  <c r="H20" i="4"/>
  <c r="G20" i="4"/>
  <c r="F20" i="4"/>
  <c r="AD19" i="4"/>
  <c r="AC19" i="4"/>
  <c r="AB19" i="4"/>
  <c r="Y8" i="5" s="1"/>
  <c r="AA19" i="4"/>
  <c r="X8" i="5" s="1"/>
  <c r="Z19" i="4"/>
  <c r="W8" i="5" s="1"/>
  <c r="Y19" i="4"/>
  <c r="X19" i="4"/>
  <c r="W19" i="4"/>
  <c r="V19" i="4"/>
  <c r="U19" i="4"/>
  <c r="T19" i="4"/>
  <c r="S19" i="4"/>
  <c r="R19" i="4"/>
  <c r="Q19" i="4"/>
  <c r="P19" i="4"/>
  <c r="O19" i="4"/>
  <c r="N19" i="4"/>
  <c r="M19" i="4"/>
  <c r="L19" i="4"/>
  <c r="K19" i="4"/>
  <c r="J19" i="4"/>
  <c r="I19" i="4"/>
  <c r="H19" i="4"/>
  <c r="G19" i="4"/>
  <c r="F19" i="4"/>
  <c r="C8" i="5" s="1"/>
  <c r="AD18" i="4"/>
  <c r="AA8" i="5" s="1"/>
  <c r="AC18" i="4"/>
  <c r="Z8" i="5" s="1"/>
  <c r="AB18" i="4"/>
  <c r="AA18" i="4"/>
  <c r="Z18" i="4"/>
  <c r="Y18" i="4"/>
  <c r="X18" i="4"/>
  <c r="W18" i="4"/>
  <c r="V18" i="4"/>
  <c r="U18" i="4"/>
  <c r="T18" i="4"/>
  <c r="S18" i="4"/>
  <c r="R18" i="4"/>
  <c r="Q18" i="4"/>
  <c r="P18" i="4"/>
  <c r="O18" i="4"/>
  <c r="N18" i="4"/>
  <c r="M18" i="4"/>
  <c r="L18" i="4"/>
  <c r="K18" i="4"/>
  <c r="J18" i="4"/>
  <c r="I18" i="4"/>
  <c r="F8" i="5" s="1"/>
  <c r="H18" i="4"/>
  <c r="E8" i="5" s="1"/>
  <c r="G18" i="4"/>
  <c r="D8" i="5" s="1"/>
  <c r="F18" i="4"/>
  <c r="AD17" i="4"/>
  <c r="AC17" i="4"/>
  <c r="AB17" i="4"/>
  <c r="AA17" i="4"/>
  <c r="Z17" i="4"/>
  <c r="Y17" i="4"/>
  <c r="X17" i="4"/>
  <c r="W17" i="4"/>
  <c r="V17" i="4"/>
  <c r="U17" i="4"/>
  <c r="T17" i="4"/>
  <c r="S17" i="4"/>
  <c r="R17" i="4"/>
  <c r="Q17" i="4"/>
  <c r="N8" i="5" s="1"/>
  <c r="P17" i="4"/>
  <c r="M8" i="5" s="1"/>
  <c r="O17" i="4"/>
  <c r="L8" i="5" s="1"/>
  <c r="N17" i="4"/>
  <c r="K8" i="5" s="1"/>
  <c r="M17" i="4"/>
  <c r="J8" i="5" s="1"/>
  <c r="L17" i="4"/>
  <c r="I8" i="5" s="1"/>
  <c r="K17" i="4"/>
  <c r="H8" i="5" s="1"/>
  <c r="J17" i="4"/>
  <c r="G8" i="5" s="1"/>
  <c r="I17" i="4"/>
  <c r="H17" i="4"/>
  <c r="G17" i="4"/>
  <c r="F17" i="4"/>
  <c r="AD16" i="4"/>
  <c r="AC16" i="4"/>
  <c r="AB16" i="4"/>
  <c r="AA16" i="4"/>
  <c r="Z16" i="4"/>
  <c r="Y16" i="4"/>
  <c r="X16" i="4"/>
  <c r="W16" i="4"/>
  <c r="V16" i="4"/>
  <c r="U16" i="4"/>
  <c r="T16" i="4"/>
  <c r="S16" i="4"/>
  <c r="R16" i="4"/>
  <c r="Q16" i="4"/>
  <c r="P16" i="4"/>
  <c r="O16" i="4"/>
  <c r="L7" i="5" s="1"/>
  <c r="N16" i="4"/>
  <c r="K7" i="5" s="1"/>
  <c r="M16" i="4"/>
  <c r="J7" i="5" s="1"/>
  <c r="L16" i="4"/>
  <c r="K16" i="4"/>
  <c r="J16" i="4"/>
  <c r="I16" i="4"/>
  <c r="H16" i="4"/>
  <c r="G16" i="4"/>
  <c r="F16" i="4"/>
  <c r="AD15" i="4"/>
  <c r="AC15" i="4"/>
  <c r="AB15" i="4"/>
  <c r="AA15" i="4"/>
  <c r="Z15" i="4"/>
  <c r="Y15" i="4"/>
  <c r="X15" i="4"/>
  <c r="W15" i="4"/>
  <c r="V15" i="4"/>
  <c r="U15" i="4"/>
  <c r="T15" i="4"/>
  <c r="S15" i="4"/>
  <c r="R15" i="4"/>
  <c r="Q15" i="4"/>
  <c r="N7" i="5" s="1"/>
  <c r="P15" i="4"/>
  <c r="M7" i="5" s="1"/>
  <c r="O15" i="4"/>
  <c r="N15" i="4"/>
  <c r="M15" i="4"/>
  <c r="L15" i="4"/>
  <c r="K15" i="4"/>
  <c r="J15" i="4"/>
  <c r="I15" i="4"/>
  <c r="H15" i="4"/>
  <c r="G15" i="4"/>
  <c r="F15" i="4"/>
  <c r="AD14" i="4"/>
  <c r="AC14" i="4"/>
  <c r="AB14" i="4"/>
  <c r="AA14" i="4"/>
  <c r="Z14" i="4"/>
  <c r="Y14" i="4"/>
  <c r="X14" i="4"/>
  <c r="W14" i="4"/>
  <c r="V14" i="4"/>
  <c r="U14" i="4"/>
  <c r="T14" i="4"/>
  <c r="Q7" i="5" s="1"/>
  <c r="S14" i="4"/>
  <c r="P7" i="5" s="1"/>
  <c r="R14" i="4"/>
  <c r="O7" i="5" s="1"/>
  <c r="Q14" i="4"/>
  <c r="P14" i="4"/>
  <c r="O14" i="4"/>
  <c r="N14" i="4"/>
  <c r="M14" i="4"/>
  <c r="L14" i="4"/>
  <c r="K14" i="4"/>
  <c r="J14" i="4"/>
  <c r="I14" i="4"/>
  <c r="H14" i="4"/>
  <c r="G14" i="4"/>
  <c r="F14" i="4"/>
  <c r="AD13" i="4"/>
  <c r="AC13" i="4"/>
  <c r="AB13" i="4"/>
  <c r="AA13" i="4"/>
  <c r="Z13" i="4"/>
  <c r="Y13" i="4"/>
  <c r="X13" i="4"/>
  <c r="W13" i="4"/>
  <c r="V13" i="4"/>
  <c r="U13" i="4"/>
  <c r="T13" i="4"/>
  <c r="S13" i="4"/>
  <c r="R13" i="4"/>
  <c r="Q13" i="4"/>
  <c r="P13" i="4"/>
  <c r="O13" i="4"/>
  <c r="N13" i="4"/>
  <c r="M13" i="4"/>
  <c r="L13" i="4"/>
  <c r="K13" i="4"/>
  <c r="J13" i="4"/>
  <c r="I13" i="4"/>
  <c r="H13" i="4"/>
  <c r="G13" i="4"/>
  <c r="F13" i="4"/>
  <c r="AD12" i="4"/>
  <c r="AC12" i="4"/>
  <c r="AB12" i="4"/>
  <c r="AA12" i="4"/>
  <c r="X6" i="5" s="1"/>
  <c r="Z12" i="4"/>
  <c r="W6" i="5" s="1"/>
  <c r="Y12" i="4"/>
  <c r="V6" i="5" s="1"/>
  <c r="X12" i="4"/>
  <c r="W12" i="4"/>
  <c r="V12" i="4"/>
  <c r="U12" i="4"/>
  <c r="T12" i="4"/>
  <c r="S12" i="4"/>
  <c r="R12" i="4"/>
  <c r="Q12" i="4"/>
  <c r="P12" i="4"/>
  <c r="O12" i="4"/>
  <c r="N12" i="4"/>
  <c r="M12" i="4"/>
  <c r="L12" i="4"/>
  <c r="K12" i="4"/>
  <c r="J12" i="4"/>
  <c r="I12" i="4"/>
  <c r="H12" i="4"/>
  <c r="G12" i="4"/>
  <c r="F12" i="4"/>
  <c r="AD11" i="4"/>
  <c r="AA6" i="5" s="1"/>
  <c r="AC11" i="4"/>
  <c r="Z6" i="5" s="1"/>
  <c r="AB11" i="4"/>
  <c r="Y6" i="5" s="1"/>
  <c r="AA11" i="4"/>
  <c r="Z11" i="4"/>
  <c r="Y11" i="4"/>
  <c r="X11" i="4"/>
  <c r="W11" i="4"/>
  <c r="V11" i="4"/>
  <c r="U11" i="4"/>
  <c r="T11" i="4"/>
  <c r="S11" i="4"/>
  <c r="R11" i="4"/>
  <c r="Q11" i="4"/>
  <c r="P11" i="4"/>
  <c r="O11" i="4"/>
  <c r="N11" i="4"/>
  <c r="M11" i="4"/>
  <c r="L11" i="4"/>
  <c r="K11" i="4"/>
  <c r="J11" i="4"/>
  <c r="I11" i="4"/>
  <c r="H11" i="4"/>
  <c r="E6" i="5" s="1"/>
  <c r="G11" i="4"/>
  <c r="D6" i="5" s="1"/>
  <c r="F11" i="4"/>
  <c r="C6" i="5" s="1"/>
  <c r="AD10" i="4"/>
  <c r="AC10" i="4"/>
  <c r="AB10" i="4"/>
  <c r="AA10" i="4"/>
  <c r="Z10" i="4"/>
  <c r="Y10" i="4"/>
  <c r="X10" i="4"/>
  <c r="W10" i="4"/>
  <c r="T6" i="5" s="1"/>
  <c r="V10" i="4"/>
  <c r="S6" i="5" s="1"/>
  <c r="U10" i="4"/>
  <c r="R6" i="5" s="1"/>
  <c r="T10" i="4"/>
  <c r="Q6" i="5" s="1"/>
  <c r="S10" i="4"/>
  <c r="P6" i="5" s="1"/>
  <c r="R10" i="4"/>
  <c r="O6" i="5" s="1"/>
  <c r="Q10" i="4"/>
  <c r="N6" i="5" s="1"/>
  <c r="P10" i="4"/>
  <c r="M6" i="5" s="1"/>
  <c r="O10" i="4"/>
  <c r="L6" i="5" s="1"/>
  <c r="N10" i="4"/>
  <c r="K6" i="5" s="1"/>
  <c r="M10" i="4"/>
  <c r="J6" i="5" s="1"/>
  <c r="L10" i="4"/>
  <c r="I6" i="5" s="1"/>
  <c r="K10" i="4"/>
  <c r="H6" i="5" s="1"/>
  <c r="J10" i="4"/>
  <c r="G6" i="5" s="1"/>
  <c r="I10" i="4"/>
  <c r="F6" i="5" s="1"/>
  <c r="H10" i="4"/>
  <c r="G10" i="4"/>
  <c r="F10" i="4"/>
  <c r="AD9" i="4"/>
  <c r="AC9" i="4"/>
  <c r="AB9" i="4"/>
  <c r="AA9" i="4"/>
  <c r="Z9" i="4"/>
  <c r="Y9" i="4"/>
  <c r="X9" i="4"/>
  <c r="W9" i="4"/>
  <c r="V9" i="4"/>
  <c r="U9" i="4"/>
  <c r="T9" i="4"/>
  <c r="S9" i="4"/>
  <c r="R9" i="4"/>
  <c r="Q9" i="4"/>
  <c r="P9" i="4"/>
  <c r="O9" i="4"/>
  <c r="N9" i="4"/>
  <c r="K5" i="5" s="1"/>
  <c r="M9" i="4"/>
  <c r="J5" i="5" s="1"/>
  <c r="L9" i="4"/>
  <c r="I5" i="5" s="1"/>
  <c r="I10" i="5" s="1"/>
  <c r="K9" i="4"/>
  <c r="J9" i="4"/>
  <c r="I9" i="4"/>
  <c r="H9" i="4"/>
  <c r="G9" i="4"/>
  <c r="F9" i="4"/>
  <c r="AD8" i="4"/>
  <c r="AC8" i="4"/>
  <c r="AB8" i="4"/>
  <c r="AA8" i="4"/>
  <c r="Z8" i="4"/>
  <c r="Y8" i="4"/>
  <c r="X8" i="4"/>
  <c r="W8" i="4"/>
  <c r="V8" i="4"/>
  <c r="U8" i="4"/>
  <c r="T8" i="4"/>
  <c r="S8" i="4"/>
  <c r="R8" i="4"/>
  <c r="Q8" i="4"/>
  <c r="N5" i="5" s="1"/>
  <c r="P8" i="4"/>
  <c r="M5" i="5" s="1"/>
  <c r="O8" i="4"/>
  <c r="L5" i="5" s="1"/>
  <c r="L10" i="5" s="1"/>
  <c r="N8" i="4"/>
  <c r="M8" i="4"/>
  <c r="L8" i="4"/>
  <c r="K8" i="4"/>
  <c r="J8" i="4"/>
  <c r="I8" i="4"/>
  <c r="H8" i="4"/>
  <c r="G8" i="4"/>
  <c r="F8" i="4"/>
  <c r="AD7" i="4"/>
  <c r="AC7" i="4"/>
  <c r="AB7" i="4"/>
  <c r="AA7" i="4"/>
  <c r="Z7" i="4"/>
  <c r="Y7" i="4"/>
  <c r="X7" i="4"/>
  <c r="W7" i="4"/>
  <c r="V7" i="4"/>
  <c r="U7" i="4"/>
  <c r="T7" i="4"/>
  <c r="Q5" i="5" s="1"/>
  <c r="S7" i="4"/>
  <c r="P5" i="5" s="1"/>
  <c r="R7" i="4"/>
  <c r="O5" i="5" s="1"/>
  <c r="Q7" i="4"/>
  <c r="P7" i="4"/>
  <c r="O7" i="4"/>
  <c r="N7" i="4"/>
  <c r="M7" i="4"/>
  <c r="L7" i="4"/>
  <c r="K7" i="4"/>
  <c r="J7" i="4"/>
  <c r="I7" i="4"/>
  <c r="H7" i="4"/>
  <c r="G7" i="4"/>
  <c r="F7" i="4"/>
  <c r="AD6" i="4"/>
  <c r="AC6" i="4"/>
  <c r="AB6" i="4"/>
  <c r="AA6" i="4"/>
  <c r="Z6" i="4"/>
  <c r="Y6" i="4"/>
  <c r="X6" i="4"/>
  <c r="W6" i="4"/>
  <c r="V6" i="4"/>
  <c r="S5" i="5" s="1"/>
  <c r="U6" i="4"/>
  <c r="R5" i="5" s="1"/>
  <c r="T6" i="4"/>
  <c r="S6" i="4"/>
  <c r="R6" i="4"/>
  <c r="Q6" i="4"/>
  <c r="P6" i="4"/>
  <c r="O6" i="4"/>
  <c r="N6" i="4"/>
  <c r="M6" i="4"/>
  <c r="L6" i="4"/>
  <c r="K6" i="4"/>
  <c r="J6" i="4"/>
  <c r="I6" i="4"/>
  <c r="H6" i="4"/>
  <c r="G6" i="4"/>
  <c r="F6" i="4"/>
  <c r="AD5" i="4"/>
  <c r="AC5" i="4"/>
  <c r="AB5" i="4"/>
  <c r="AA5" i="4"/>
  <c r="Z5" i="4"/>
  <c r="W5" i="5" s="1"/>
  <c r="Y5" i="4"/>
  <c r="V5" i="5" s="1"/>
  <c r="X5" i="4"/>
  <c r="U5" i="5" s="1"/>
  <c r="U10" i="5" s="1"/>
  <c r="W5" i="4"/>
  <c r="T5" i="5" s="1"/>
  <c r="V5" i="4"/>
  <c r="U5" i="4"/>
  <c r="T5" i="4"/>
  <c r="S5" i="4"/>
  <c r="R5" i="4"/>
  <c r="Q5" i="4"/>
  <c r="P5" i="4"/>
  <c r="O5" i="4"/>
  <c r="N5" i="4"/>
  <c r="M5" i="4"/>
  <c r="L5" i="4"/>
  <c r="K5" i="4"/>
  <c r="J5" i="4"/>
  <c r="I5" i="4"/>
  <c r="H5" i="4"/>
  <c r="G5" i="4"/>
  <c r="F5" i="4"/>
  <c r="C8" i="2"/>
  <c r="O10" i="5" l="1"/>
  <c r="P10" i="5"/>
  <c r="C10" i="5"/>
  <c r="S10" i="5"/>
  <c r="Q10" i="5"/>
  <c r="F10" i="5"/>
  <c r="V10" i="5"/>
  <c r="J10" i="5"/>
  <c r="K10" i="5"/>
  <c r="D10" i="5"/>
  <c r="G10" i="5"/>
  <c r="T10" i="5"/>
  <c r="F11" i="8"/>
  <c r="G11" i="8" s="1"/>
  <c r="R10" i="5"/>
  <c r="M10" i="5"/>
  <c r="W10" i="5"/>
  <c r="N10" i="5"/>
  <c r="E10" i="5"/>
  <c r="H10" i="5"/>
  <c r="F15" i="8"/>
  <c r="X10" i="5"/>
  <c r="G16" i="8" l="1"/>
  <c r="G12" i="8"/>
  <c r="G14" i="8"/>
  <c r="G5" i="8"/>
  <c r="G15" i="8"/>
  <c r="G10" i="8"/>
  <c r="G8" i="8"/>
  <c r="G6" i="8"/>
  <c r="G7" i="8"/>
  <c r="G9" i="8"/>
  <c r="G1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4" authorId="0" shapeId="0" xr:uid="{00000000-0006-0000-0200-000001000000}">
      <text>
        <r>
          <rPr>
            <sz val="10"/>
            <rFont val="Arial"/>
            <family val="2"/>
          </rPr>
          <t>Source: CRU TS / WB Climate Change Knowledge Portal</t>
        </r>
      </text>
    </comment>
    <comment ref="A5" authorId="0" shapeId="0" xr:uid="{00000000-0006-0000-0200-000002000000}">
      <text>
        <r>
          <rPr>
            <sz val="10"/>
            <rFont val="Arial"/>
            <family val="2"/>
          </rPr>
          <t>Source: Derived (this study; baseline 17.6 °C)</t>
        </r>
      </text>
    </comment>
    <comment ref="A6" authorId="0" shapeId="0" xr:uid="{00000000-0006-0000-0200-000003000000}">
      <text>
        <r>
          <rPr>
            <sz val="10"/>
            <rFont val="Arial"/>
            <family val="2"/>
          </rPr>
          <t>Source: CRU TS / WB CCKP</t>
        </r>
      </text>
    </comment>
    <comment ref="A7" authorId="0" shapeId="0" xr:uid="{00000000-0006-0000-0200-000004000000}">
      <text>
        <r>
          <rPr>
            <sz val="10"/>
            <rFont val="Arial"/>
            <family val="2"/>
          </rPr>
          <t>Source: Derived</t>
        </r>
      </text>
    </comment>
    <comment ref="A8" authorId="0" shapeId="0" xr:uid="{00000000-0006-0000-0200-000005000000}">
      <text>
        <r>
          <rPr>
            <sz val="10"/>
            <rFont val="Arial"/>
            <family val="2"/>
          </rPr>
          <t>Source: CCKP heat extremes; estimated</t>
        </r>
      </text>
    </comment>
    <comment ref="A9" authorId="0" shapeId="0" xr:uid="{00000000-0006-0000-0200-000006000000}">
      <text>
        <r>
          <rPr>
            <sz val="10"/>
            <rFont val="Arial"/>
            <family val="2"/>
          </rPr>
          <t>Source: World Bank WDI (NV.AGR.TOTL.ZS)</t>
        </r>
      </text>
    </comment>
    <comment ref="A10" authorId="0" shapeId="0" xr:uid="{00000000-0006-0000-0200-000007000000}">
      <text>
        <r>
          <rPr>
            <sz val="10"/>
            <rFont val="Arial"/>
            <family val="2"/>
          </rPr>
          <t>Source: World Bank WDI / ILO modelled (SL.AGR.EMPL.ZS)</t>
        </r>
      </text>
    </comment>
    <comment ref="A11" authorId="0" shapeId="0" xr:uid="{00000000-0006-0000-0200-000008000000}">
      <text>
        <r>
          <rPr>
            <sz val="10"/>
            <rFont val="Arial"/>
            <family val="2"/>
          </rPr>
          <t>Source: FAO AQUASTAT</t>
        </r>
      </text>
    </comment>
    <comment ref="A12" authorId="0" shapeId="0" xr:uid="{00000000-0006-0000-0200-000009000000}">
      <text>
        <r>
          <rPr>
            <sz val="10"/>
            <rFont val="Arial"/>
            <family val="2"/>
          </rPr>
          <t>Source: World Bank WDI (SP.RUR.TOTL.ZS)</t>
        </r>
      </text>
    </comment>
    <comment ref="A13" authorId="0" shapeId="0" xr:uid="{00000000-0006-0000-0200-00000A000000}">
      <text>
        <r>
          <rPr>
            <sz val="10"/>
            <rFont val="Arial"/>
            <family val="2"/>
          </rPr>
          <t>Source: World Bank WDI (NY.GDP.PCAP.PP.CD) / IMF WEO</t>
        </r>
      </text>
    </comment>
    <comment ref="A14" authorId="0" shapeId="0" xr:uid="{00000000-0006-0000-0200-00000B000000}">
      <text>
        <r>
          <rPr>
            <sz val="10"/>
            <rFont val="Arial"/>
            <family val="2"/>
          </rPr>
          <t>Source: UNDP Human Development Report</t>
        </r>
      </text>
    </comment>
    <comment ref="A15" authorId="0" shapeId="0" xr:uid="{00000000-0006-0000-0200-00000C000000}">
      <text>
        <r>
          <rPr>
            <sz val="10"/>
            <rFont val="Arial"/>
            <family val="2"/>
          </rPr>
          <t>Source: World Bank WGI</t>
        </r>
      </text>
    </comment>
    <comment ref="A16" authorId="0" shapeId="0" xr:uid="{00000000-0006-0000-0200-00000D000000}">
      <text>
        <r>
          <rPr>
            <sz val="10"/>
            <rFont val="Arial"/>
            <family val="2"/>
          </rPr>
          <t>Source: ITU / World Bank (IT.NET.USER.ZS)</t>
        </r>
      </text>
    </comment>
    <comment ref="A17" authorId="0" shapeId="0" xr:uid="{00000000-0006-0000-0200-00000E000000}">
      <text>
        <r>
          <rPr>
            <sz val="10"/>
            <rFont val="Arial"/>
            <family val="2"/>
          </rPr>
          <t>Source: ITU (IT.CEL.SETS.P2)</t>
        </r>
      </text>
    </comment>
    <comment ref="A18" authorId="0" shapeId="0" xr:uid="{00000000-0006-0000-0200-00000F000000}">
      <text>
        <r>
          <rPr>
            <sz val="10"/>
            <rFont val="Arial"/>
            <family val="2"/>
          </rPr>
          <t>Source: UNESCO UIS (GB.XPD.RSDV.GD.ZS)</t>
        </r>
      </text>
    </comment>
    <comment ref="A19" authorId="0" shapeId="0" xr:uid="{00000000-0006-0000-0200-000010000000}">
      <text>
        <r>
          <rPr>
            <sz val="10"/>
            <rFont val="Arial"/>
            <family val="2"/>
          </rPr>
          <t>Source: IRENA Renewable Energy Statistics 2025; Morocco ANRE</t>
        </r>
      </text>
    </comment>
    <comment ref="A20" authorId="0" shapeId="0" xr:uid="{00000000-0006-0000-0200-000011000000}">
      <text>
        <r>
          <rPr>
            <sz val="10"/>
            <rFont val="Arial"/>
            <family val="2"/>
          </rPr>
          <t>Source: WIPO IP Statistics / World Bank</t>
        </r>
      </text>
    </comment>
    <comment ref="A21" authorId="0" shapeId="0" xr:uid="{00000000-0006-0000-0200-000012000000}">
      <text>
        <r>
          <rPr>
            <sz val="10"/>
            <rFont val="Arial"/>
            <family val="2"/>
          </rPr>
          <t>Source: Portulans Institute NRI</t>
        </r>
      </text>
    </comment>
    <comment ref="A22" authorId="0" shapeId="0" xr:uid="{00000000-0006-0000-0200-000013000000}">
      <text>
        <r>
          <rPr>
            <sz val="10"/>
            <rFont val="Arial"/>
            <family val="2"/>
          </rPr>
          <t>Source: Oxford Insights</t>
        </r>
      </text>
    </comment>
    <comment ref="A23" authorId="0" shapeId="0" xr:uid="{00000000-0006-0000-0200-000014000000}">
      <text>
        <r>
          <rPr>
            <sz val="10"/>
            <rFont val="Arial"/>
            <family val="2"/>
          </rPr>
          <t>Source: University of Notre Dame ND-GAIN (CC BY)</t>
        </r>
      </text>
    </comment>
    <comment ref="A24" authorId="0" shapeId="0" xr:uid="{00000000-0006-0000-0200-000015000000}">
      <text>
        <r>
          <rPr>
            <sz val="10"/>
            <rFont val="Arial"/>
            <family val="2"/>
          </rPr>
          <t>Source: University of Notre Dame ND-GAIN (CC BY)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500-000001000000}">
      <text>
        <r>
          <rPr>
            <sz val="10"/>
            <rFont val="Arial"/>
            <family val="2"/>
          </rPr>
          <t>Source: WB CCKP gridded (region centroid, 2014–23 mean)</t>
        </r>
      </text>
    </comment>
    <comment ref="C4" authorId="0" shapeId="0" xr:uid="{00000000-0006-0000-0500-000002000000}">
      <text>
        <r>
          <rPr>
            <sz val="10"/>
            <rFont val="Arial"/>
            <family val="2"/>
          </rPr>
          <t>Source: WB CCKP gridded (region centroid, 2014–23 mean)</t>
        </r>
      </text>
    </comment>
    <comment ref="D4" authorId="0" shapeId="0" xr:uid="{00000000-0006-0000-0500-000003000000}">
      <text>
        <r>
          <rPr>
            <sz val="10"/>
            <rFont val="Arial"/>
            <family val="2"/>
          </rPr>
          <t>Source: Derived from precipitation</t>
        </r>
      </text>
    </comment>
    <comment ref="E4" authorId="0" shapeId="0" xr:uid="{00000000-0006-0000-0500-000004000000}">
      <text>
        <r>
          <rPr>
            <sz val="10"/>
            <rFont val="Arial"/>
            <family val="2"/>
          </rPr>
          <t>Source: HCP, Comptes régionaux 2022</t>
        </r>
      </text>
    </comment>
    <comment ref="F4" authorId="0" shapeId="0" xr:uid="{00000000-0006-0000-0500-000005000000}">
      <text>
        <r>
          <rPr>
            <sz val="10"/>
            <rFont val="Arial"/>
            <family val="2"/>
          </rPr>
          <t>Source: HCP regional accounts (estimated)</t>
        </r>
      </text>
    </comment>
    <comment ref="G4" authorId="0" shapeId="0" xr:uid="{00000000-0006-0000-0500-000006000000}">
      <text>
        <r>
          <rPr>
            <sz val="10"/>
            <rFont val="Arial"/>
            <family val="2"/>
          </rPr>
          <t>Source: HCP RGPH 2014 / 2024 estimates</t>
        </r>
      </text>
    </comment>
    <comment ref="H4" authorId="0" shapeId="0" xr:uid="{00000000-0006-0000-0500-000007000000}">
      <text>
        <r>
          <rPr>
            <sz val="10"/>
            <rFont val="Arial"/>
            <family val="2"/>
          </rPr>
          <t>Source: HCP RGPH 2024 preliminary</t>
        </r>
      </text>
    </comment>
    <comment ref="I4" authorId="0" shapeId="0" xr:uid="{00000000-0006-0000-0500-000008000000}">
      <text>
        <r>
          <rPr>
            <sz val="10"/>
            <rFont val="Arial"/>
            <family val="2"/>
          </rPr>
          <t>Source: ANRT regional indicators (estimated)</t>
        </r>
      </text>
    </comment>
    <comment ref="J4" authorId="0" shapeId="0" xr:uid="{00000000-0006-0000-0500-000009000000}">
      <text>
        <r>
          <rPr>
            <sz val="10"/>
            <rFont val="Arial"/>
            <family val="2"/>
          </rPr>
          <t>Source: ANRT regional indicators (estimated)</t>
        </r>
      </text>
    </comment>
    <comment ref="K4" authorId="0" shapeId="0" xr:uid="{00000000-0006-0000-0500-00000A000000}">
      <text>
        <r>
          <rPr>
            <sz val="10"/>
            <rFont val="Arial"/>
            <family val="2"/>
          </rPr>
          <t>Source: MASEN / ONEE / IRENA (project locations)</t>
        </r>
      </text>
    </comment>
    <comment ref="L4" authorId="0" shapeId="0" xr:uid="{00000000-0006-0000-0500-00000B000000}">
      <text>
        <r>
          <rPr>
            <sz val="10"/>
            <rFont val="Arial"/>
            <family val="2"/>
          </rPr>
          <t>Source: WRI Aqueduct 4.0 (regional aggregation)</t>
        </r>
      </text>
    </comment>
  </commentList>
</comments>
</file>

<file path=xl/sharedStrings.xml><?xml version="1.0" encoding="utf-8"?>
<sst xmlns="http://schemas.openxmlformats.org/spreadsheetml/2006/main" count="940" uniqueCount="456">
  <si>
    <t>BRCMID Project — Climate-Technology Vulnerability Index (CTVI)</t>
  </si>
  <si>
    <t>Morocco — National time series (2000–2024) and Regional cross-section (12 regions, 2022/23 anchor)</t>
  </si>
  <si>
    <t>PURPOSE</t>
  </si>
  <si>
    <t>A single, holistic dataset combining climate exposure, climate sensitivity, socio-economic adaptive capacity, and technological adaptive capacity for Morocco at the national and regional level, designed to compute a composite Climate-Technology Vulnerability Index (CTVI).</t>
  </si>
  <si>
    <t>FRAMEWORK</t>
  </si>
  <si>
    <t>IPCC AR5/AR6 paradigm: Vulnerability = f(Exposure, Sensitivity, Adaptive Capacity). Adaptive Capacity is split into a socio-economic pillar and a TECHNOLOGY pillar, the latter receiving the highest weight because BRCMID targets climate-technology vulnerability specifically.</t>
  </si>
  <si>
    <t>FORMULA</t>
  </si>
  <si>
    <t>CTVI = wE·E + wS·S + wAC·(1−AC_SE) + wT·(1−AC_TECH)
Default weights: wE=0.25, wS=0.25, wAC=0.20, wT=0.30 (sum = 1.00).
Weights are stored on the Weights sheet — change them and the CTVI sheets recalculate automatically.
Range: 0 (lowest vulnerability) → 1 (highest vulnerability).</t>
  </si>
  <si>
    <t>PILLARS &amp; INDICATORS</t>
  </si>
  <si>
    <t>EXPOSURE (E): mean temperature, temperature anomaly, precipitation, drought (SPEI proxy), heatwave days.
SENSITIVITY (S): agriculture % GDP, agriculture % employment, renewable freshwater per capita, rural population %.
ADAPTIVE CAPACITY — Socio-economic (AC_SE): GDP per capita PPP, HDI, government effectiveness.
ADAPTIVE CAPACITY — Technology (AC_TECH): internet penetration, mobile subscriptions, R&amp;D % GDP, renewables share in electricity, patents per million, Network Readiness Index, AI Readiness Index.
REFERENCE: ND-GAIN Vulnerability and Readiness scores (for cross-validation).</t>
  </si>
  <si>
    <t>NORMALISATION</t>
  </si>
  <si>
    <t>Min–max rescaling to [0, 1] using the 2000–2024 series range (national) or the 12-region range (regional).
  • For "V" (vulnerability-direction) indicators: norm = (x − min) / (max − min).
  • For "C" (capacity-direction) indicators: norm = (max − x) / (max − min) so that higher capacity → lower vulnerability contribution. The CTVI sheets then use 1−AC for capacity pillars; the Normalized sheets store the capacity-as-vulnerability form directly.</t>
  </si>
  <si>
    <t>SHEETS</t>
  </si>
  <si>
    <t xml:space="preserve">  README                – this sheet
  Weights               – editable pillar weights (CTVI updates live)
  National_Annual       – raw national indicators 2000–2024
  National_Normalized   – 0–1 rescaled values
  National_CTVI         – pillar sub-indices and composite CTVI
  Regional_Indicators   – raw regional cross-section, 12 regions
  Regional_Normalized   – 0–1 rescaled regional values
  Regional_CTVI         – regional pillar sub-indices and CTVI
  Variable_Definitions  – codebook (units, direction, source pillar)
  Sources               – full source list with URLs</t>
  </si>
  <si>
    <t>DATA PROVENANCE</t>
  </si>
  <si>
    <t>Tier 1 (year-specific official): TEMP_MEAN, PRECIP (CRU/CCKP); AGRI_GDP, AGRI_EMP, RURAL_PCT, GDP_PC_PPP, INTERNET, MOBILE (World Bank WDI); HDI (UNDP); RE_SHARE (IRENA / Morocco ANRE); NDGAIN_V &amp; NDGAIN_R (ND-GAIN, 2004–2023, 2024 carried forward).
Tier 2 (interpolated between official anchor points): R&amp;D % GDP, WATER_PC, GOV_EFF — UNESCO/FAO/WGI publish biennially or with gaps; missing years linearly interpolated.
Tier 3 (estimated / proxy): HEATWAVE_DAYS, PATENTS_PM, NRI pre-2019, AI_READY pre-2017 — modelled estimates flagged as such. SPEI_PROXY is a derived z-score, not the official SPEI.
Regional values are 2022/23 anchor; HCP regional accounts are the authoritative source for GDP and demographics. Regional internet and mobile are ANRT-based estimates aligned to national totals. Climate is CCKP gridded data averaged at the region centroid.</t>
  </si>
  <si>
    <t>CAVEATS</t>
  </si>
  <si>
    <t>1. Morocco's 16-region administrative structure was replaced by the current 12 in 2015. Regional time series before 2015 require concordance work; the regional sheet is therefore a recent-anchor cross-section, not a 2000–2024 panel.
2. The CTVI is a composite — sensitive to weight choice and normalisation. Always run sensitivity analysis (e.g. equal weights, PCA weights) before drawing policy conclusions.
3. Tier 3 values should be replaced with primary sources before publication.</t>
  </si>
  <si>
    <t>CITATION</t>
  </si>
  <si>
    <t>BRCMID Project (2026). Climate-Technology Vulnerability Index (CTVI) for Morocco, 2000–2024. Compiled dataset, version 1.0. Sources listed in the Sources sheet.</t>
  </si>
  <si>
    <t>VERSION</t>
  </si>
  <si>
    <t>v1.0 — generated April 25, 2026.</t>
  </si>
  <si>
    <t>CTVI Pillar Weights (editable — formulas update automatically)</t>
  </si>
  <si>
    <t>Pillar</t>
  </si>
  <si>
    <t>Code</t>
  </si>
  <si>
    <t>Weight</t>
  </si>
  <si>
    <t>Exposure</t>
  </si>
  <si>
    <t>wE</t>
  </si>
  <si>
    <t>Sensitivity</t>
  </si>
  <si>
    <t>wS</t>
  </si>
  <si>
    <t>Adaptive Capacity – Socio-Economic</t>
  </si>
  <si>
    <t>wAC</t>
  </si>
  <si>
    <t>Adaptive Capacity – Technology</t>
  </si>
  <si>
    <t>wT</t>
  </si>
  <si>
    <t>Sum (must = 1.00)</t>
  </si>
  <si>
    <t>Edit cells C4:C7 to test alternative weighting schemes. CTVI sheets reference these named cells.</t>
  </si>
  <si>
    <t>Morocco — National Annual Indicators, 2000–2024</t>
  </si>
  <si>
    <t>Indicator</t>
  </si>
  <si>
    <t>Unit</t>
  </si>
  <si>
    <t>Direction</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</si>
  <si>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</si>
  <si>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</si>
  <si>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</si>
  <si>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</si>
  <si>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</si>
  <si>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</si>
  <si>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</si>
  <si>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</si>
  <si>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</si>
  <si>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</si>
  <si>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</si>
  <si>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</si>
  <si>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</si>
  <si>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</si>
  <si>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</si>
  <si>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</si>
  <si>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</si>
  <si>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</si>
  <si>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</si>
  <si>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</si>
  <si>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</si>
  <si>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</si>
  <si>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</si>
  <si>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</si>
  <si>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</si>
  <si>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TEMP_MEAN</t>
  </si>
  <si>
    <t>Mean annual temperature</t>
  </si>
  <si>
    <t>°C</t>
  </si>
  <si>
    <t>V</t>
  </si>
  <si>
    <t>E</t>
  </si>
  <si>
    <t>TEMP_ANOM</t>
  </si>
  <si>
    <t>Temperature anomaly vs 1961–1990 baseline</t>
  </si>
  <si>
    <t>PRECIP</t>
  </si>
  <si>
    <t>Mean annual precipitation</t>
  </si>
  <si>
    <t>mm</t>
  </si>
  <si>
    <t>C</t>
  </si>
  <si>
    <t>SPEI_PROXY</t>
  </si>
  <si>
    <t>Drought proxy (precip z-score, 2000–24)</t>
  </si>
  <si>
    <t>z-score</t>
  </si>
  <si>
    <t>HEATWAVE_DAYS</t>
  </si>
  <si>
    <t>Heatwave days (&gt;35 °C, national avg)</t>
  </si>
  <si>
    <t>days</t>
  </si>
  <si>
    <t>AGRI_GDP</t>
  </si>
  <si>
    <t>Agriculture, value added</t>
  </si>
  <si>
    <t>% GDP</t>
  </si>
  <si>
    <t>S</t>
  </si>
  <si>
    <t>AGRI_EMP</t>
  </si>
  <si>
    <t>Agriculture employment</t>
  </si>
  <si>
    <t>% total</t>
  </si>
  <si>
    <t>WATER_PC</t>
  </si>
  <si>
    <t>Renewable freshwater per capita</t>
  </si>
  <si>
    <t>m³/person</t>
  </si>
  <si>
    <t>RURAL_PCT</t>
  </si>
  <si>
    <t>Rural population</t>
  </si>
  <si>
    <t>GDP_PC_PPP</t>
  </si>
  <si>
    <t>GDP per capita, PPP</t>
  </si>
  <si>
    <t>int$</t>
  </si>
  <si>
    <t>AC_SE</t>
  </si>
  <si>
    <t>HDI</t>
  </si>
  <si>
    <t>Human Development Index</t>
  </si>
  <si>
    <t>0–1</t>
  </si>
  <si>
    <t>GOV_EFF</t>
  </si>
  <si>
    <t>Government Effectiveness percentile</t>
  </si>
  <si>
    <t>0–100</t>
  </si>
  <si>
    <t>INTERNET</t>
  </si>
  <si>
    <t>Individuals using the Internet</t>
  </si>
  <si>
    <t>% pop</t>
  </si>
  <si>
    <t>AC_TECH</t>
  </si>
  <si>
    <t>MOBILE</t>
  </si>
  <si>
    <t>Mobile cellular subscriptions</t>
  </si>
  <si>
    <t>per 100 pop</t>
  </si>
  <si>
    <t>RD_GDP</t>
  </si>
  <si>
    <t>R&amp;D expenditure</t>
  </si>
  <si>
    <t>RE_SHARE</t>
  </si>
  <si>
    <t>Renewables in electricity generation</t>
  </si>
  <si>
    <t>%</t>
  </si>
  <si>
    <t>PATENTS_PM</t>
  </si>
  <si>
    <t>Patent applications, residents</t>
  </si>
  <si>
    <t>per million pop</t>
  </si>
  <si>
    <t>NRI</t>
  </si>
  <si>
    <t>Network Readiness Index</t>
  </si>
  <si>
    <t>AI_READY</t>
  </si>
  <si>
    <t>Government AI Readiness Index</t>
  </si>
  <si>
    <t>NDGAIN_V</t>
  </si>
  <si>
    <t>ND-GAIN Vulnerability score</t>
  </si>
  <si>
    <t>REF</t>
  </si>
  <si>
    <t>NDGAIN_R</t>
  </si>
  <si>
    <t>ND-GAIN Readiness score</t>
  </si>
  <si>
    <t>Morocco — Min–max normalised indicators (0 = lowest vulnerability contribution, 1 = highest)</t>
  </si>
  <si>
    <t>For V indicators: x_norm = (x−min)/(max−min). For C indicators: x_norm = (max−x)/(max−min) — i.e. capacity-as-vulnerability.</t>
  </si>
  <si>
    <t>Morocco — Climate-Technology Vulnerability Index (CTVI), 2000–2024</t>
  </si>
  <si>
    <t>Pillar sub-indices = simple average of normalised indicators in that pillar. CTVI = weighted sum (Weights sheet).</t>
  </si>
  <si>
    <t>Component</t>
  </si>
  <si>
    <t>E_index</t>
  </si>
  <si>
    <t>Exposure sub-index (E)</t>
  </si>
  <si>
    <t>S_index</t>
  </si>
  <si>
    <t>Sensitivity sub-index (S)</t>
  </si>
  <si>
    <t>AC_SE_index</t>
  </si>
  <si>
    <t>Adaptive Capacity (Socio-Econ) sub-index</t>
  </si>
  <si>
    <t>AC_TECH_index</t>
  </si>
  <si>
    <t>Adaptive Capacity (Technology) sub-index</t>
  </si>
  <si>
    <t>CTVI</t>
  </si>
  <si>
    <t>Composite Climate-Technology Vulnerability Index</t>
  </si>
  <si>
    <t>Morocco — Regional Indicators (12 administrative regions, 2022/23 anchor)</t>
  </si>
  <si>
    <t>Cross-sectional. HCP regional accounts (GDP, population, urbanisation), CCKP gridded climate (centroid means), ANRT regional ICT estimates, MASEN/ONEE installed RE capacity.</t>
  </si>
  <si>
    <t>Region</t>
  </si>
  <si>
    <t>GDP_PC</t>
  </si>
  <si>
    <t>URBAN</t>
  </si>
  <si>
    <t>POP</t>
  </si>
  <si>
    <t>RE_MW</t>
  </si>
  <si>
    <t>WATER_STRESS</t>
  </si>
  <si>
    <t>Aridity / drought proxy (z-score)</t>
  </si>
  <si>
    <t>GDP per capita</t>
  </si>
  <si>
    <t>Agriculture share of regional GDP</t>
  </si>
  <si>
    <t>Urbanisation rate</t>
  </si>
  <si>
    <t>Population</t>
  </si>
  <si>
    <t>Internet penetration</t>
  </si>
  <si>
    <t>Mobile subscriptions</t>
  </si>
  <si>
    <t>Installed renewable capacity in region</t>
  </si>
  <si>
    <t>WRI Aqueduct baseline water stress</t>
  </si>
  <si>
    <t>z</t>
  </si>
  <si>
    <t>MAD</t>
  </si>
  <si>
    <t>million</t>
  </si>
  <si>
    <t>% individuals</t>
  </si>
  <si>
    <t>MW</t>
  </si>
  <si>
    <t>dir: V</t>
  </si>
  <si>
    <t>dir: C</t>
  </si>
  <si>
    <t>dir: REF</t>
  </si>
  <si>
    <t>pillar: E</t>
  </si>
  <si>
    <t>pillar: AC_SE</t>
  </si>
  <si>
    <t>pillar: S</t>
  </si>
  <si>
    <t>pillar: REF</t>
  </si>
  <si>
    <t>pillar: AC_TECH</t>
  </si>
  <si>
    <t>Tanger-Tétouan-Al Hoceïma</t>
  </si>
  <si>
    <t>Oriental</t>
  </si>
  <si>
    <t>Fès-Meknès</t>
  </si>
  <si>
    <t>Rabat-Salé-Kénitra</t>
  </si>
  <si>
    <t>Béni Mellal-Khénifra</t>
  </si>
  <si>
    <t>Casablanca-Settat</t>
  </si>
  <si>
    <t>Marrakech-Safi</t>
  </si>
  <si>
    <t>Drâa-Tafilalet</t>
  </si>
  <si>
    <t>Souss-Massa</t>
  </si>
  <si>
    <t>Guelmim-Oued Noun</t>
  </si>
  <si>
    <t>Laâyoune-Sakia El Hamra</t>
  </si>
  <si>
    <t>Dakhla-Oued Ed-Dahab</t>
  </si>
  <si>
    <t>Morocco — Regional indicators, min–max normalised across 12 regions</t>
  </si>
  <si>
    <t>Morocco — Regional CTVI (12 administrative regions)</t>
  </si>
  <si>
    <t>Pillar sub-indices = simple mean of relevant normalised indicators on Regional_Normalized.</t>
  </si>
  <si>
    <t>Rank</t>
  </si>
  <si>
    <t>Variable Definitions — codebook with direct source links and access steps</t>
  </si>
  <si>
    <t>Click any URL in column H to open the dataset directly. Column I gives the step-by-step access procedure (manual or programmatic) so the dataset is fully replicable.</t>
  </si>
  <si>
    <t>Label</t>
  </si>
  <si>
    <t>Scope</t>
  </si>
  <si>
    <t>Source</t>
  </si>
  <si>
    <t>Direct URL</t>
  </si>
  <si>
    <t>Access steps</t>
  </si>
  <si>
    <t>— NATIONAL INDICATORS —</t>
  </si>
  <si>
    <t>National</t>
  </si>
  <si>
    <t>World Bank Climate Change Knowledge Portal — Morocco</t>
  </si>
  <si>
    <t>https://climateknowledgeportal.worldbank.org/country/morocco/climate-data-historical</t>
  </si>
  <si>
    <t>1. Open the URL.
2. In the "Variable" dropdown choose "Mean Surface Air Temperature".
3. Set "Frequency" = Annual; set "Period" = 2000–2024.
4. The chart shows annual values; click the download icon (top-right) → choose CSV.
5. Cross-check with CRU TS v4 at https://crudata.uea.ac.uk/cru/data/hrg/ (Morocco country mask).</t>
  </si>
  <si>
    <t>Temperature anomaly vs 1961–1990</t>
  </si>
  <si>
    <t>Derived from TEMP_MEAN (this study)</t>
  </si>
  <si>
    <t>1. Download mean annual temperature as in TEMP_MEAN.
2. Compute the 1961–1990 baseline mean (CCKP reports ≈17.6 °C for Morocco).
3. Subtract the baseline from each annual value to obtain the anomaly.
4. Formula in this workbook: TEMP_ANOM_y = TEMP_MEAN_y − 17.6.</t>
  </si>
  <si>
    <t>1. Open the URL.
2. In "Variable" choose "Precipitation".
3. Set Frequency = Annual; Period = 2000–2024.
4. Download CSV.
5. Optional cross-check: CRU TS v4 monthly precipitation for Morocco mask, aggregated annually.</t>
  </si>
  <si>
    <t>Drought proxy (precip z-score 2000–2024)</t>
  </si>
  <si>
    <t>Derived from PRECIP (this study)</t>
  </si>
  <si>
    <t>https://spei.csic.es/database.html</t>
  </si>
  <si>
    <t>1. For the proxy used here: take PRECIP series 2000–2024, compute mean and std dev, and standardise (z-score).
2. For the full SPEI: download SPEI Global Drought Monitor data from https://spei.csic.es/database.html.
3. Choose the SPEI-12 product (12-month integration window) and extract Morocco grid cells, then average annually.</t>
  </si>
  <si>
    <t>World Bank CCKP — Climate Extremes</t>
  </si>
  <si>
    <t>1. Open the URL → "Climate" tab → "Extremes" sub-section.
2. Choose the indicator "Number of days with maximum temperature above 35 °C" (TX35d).
3. Set Frequency = Annual; Period = 2000–2024.
4. Download CSV.
5. The values in this workbook are estimates aligned to CCKP trends — replace with the official CCKP TX35d series for publication.</t>
  </si>
  <si>
    <t>World Bank WDI — NV.AGR.TOTL.ZS</t>
  </si>
  <si>
    <t>https://data.worldbank.org/indicator/NV.AGR.TOTL.ZS?locations=MA</t>
  </si>
  <si>
    <t>1. Open the URL (already filtered to Morocco).
2. Click "Download" (top-right of the chart).
3. Choose "Excel" or "CSV" format.
4. The file contains the full 1960–latest series; filter rows for years 2000–2024.
5. API alternative: https://api.worldbank.org/v2/country/MA/indicator/NV.AGR.TOTL.ZS?format=json</t>
  </si>
  <si>
    <t>% total employment</t>
  </si>
  <si>
    <t>World Bank WDI — SL.AGR.EMPL.ZS (modelled ILO)</t>
  </si>
  <si>
    <t>https://data.worldbank.org/indicator/SL.AGR.EMPL.ZS?locations=MA</t>
  </si>
  <si>
    <t>1. Open the URL.
2. Click "Download" → choose CSV/Excel.
3. Filter to years 2000–2024.
4. Note: this is a modelled ILO estimate; for primary data, see ILOSTAT at https://ilostat.ilo.org/data/.</t>
  </si>
  <si>
    <t>m³/person/yr</t>
  </si>
  <si>
    <t>FAO AQUASTAT</t>
  </si>
  <si>
    <t>https://data.apps.fao.org/aquastat/?lang=en&amp;country=MAR</t>
  </si>
  <si>
    <t>1. Open the URL — page is pre-filtered to Morocco (MAR).
2. Under "Water Resources" select "Total renewable water resources per capita".
3. Click "Export" → CSV.
4. Note: AQUASTAT updates every ~5 years; intermediate years in this dataset are linearly interpolated between official points.</t>
  </si>
  <si>
    <t>% of total</t>
  </si>
  <si>
    <t>World Bank WDI — SP.RUR.TOTL.ZS</t>
  </si>
  <si>
    <t>https://data.worldbank.org/indicator/SP.RUR.TOTL.ZS?locations=MA</t>
  </si>
  <si>
    <t>1. Open the URL.
2. Click Download → Excel/CSV.
3. Filter to 2000–2024.
4. Source notes: based on UN World Urbanization Prospects.</t>
  </si>
  <si>
    <t>current intl $</t>
  </si>
  <si>
    <t>World Bank WDI — NY.GDP.PCAP.PP.CD</t>
  </si>
  <si>
    <t>https://data.worldbank.org/indicator/NY.GDP.PCAP.PP.CD?locations=MA</t>
  </si>
  <si>
    <t>1. Open the URL.
2. Click Download → Excel/CSV.
3. Filter to 2000–2024.
4. Cross-check with IMF World Economic Outlook (April or October release) at https://www.imf.org/en/Publications/WEO/weo-database/2024/October.</t>
  </si>
  <si>
    <t>UNDP Human Development Report — Data Center</t>
  </si>
  <si>
    <t>https://hdr.undp.org/data-center/specific-country-data#/countries/MAR</t>
  </si>
  <si>
    <t>1. Open the URL — pre-filtered to Morocco (MAR).
2. Scroll to "Human Development Index (HDI)" panel.
3. Click "Download data" → CSV.
4. The composite HDI series is provided for 1990–latest; filter 2000–2024.
5. Bulk option: https://hdr.undp.org/sites/default/files/2023-24_HDR/HDR23-24_Composite_indices_complete_time_series.csv</t>
  </si>
  <si>
    <t>World Bank Worldwide Governance Indicators (WGI)</t>
  </si>
  <si>
    <t>https://www.worldbank.org/en/publication/worldwide-governance-indicators/interactive-data-access</t>
  </si>
  <si>
    <t>1. Open the URL.
2. Click "Interactive Data Access".
3. Select Country = Morocco; Indicator = Government Effectiveness; choose "Percentile Rank".
4. Click Download → Excel.
5. WGI is now released annually; filter 2000–2024.</t>
  </si>
  <si>
    <t>% population</t>
  </si>
  <si>
    <t>World Bank WDI — IT.NET.USER.ZS (sourced from ITU)</t>
  </si>
  <si>
    <t>https://data.worldbank.org/indicator/IT.NET.USER.ZS?locations=MA</t>
  </si>
  <si>
    <t>1. Open the URL.
2. Download Excel/CSV.
3. Filter 2000–2024.
4. Primary source (more granular): ITU DataHub at https://datahub.itu.int/data/?i=11624&amp;e=MAR.</t>
  </si>
  <si>
    <t>World Bank WDI — IT.CEL.SETS.P2 (sourced from ITU)</t>
  </si>
  <si>
    <t>https://data.worldbank.org/indicator/IT.CEL.SETS.P2?locations=MA</t>
  </si>
  <si>
    <t>1. Open the URL.
2. Download Excel/CSV.
3. Filter 2000–2024.
4. Primary: ITU DataHub https://datahub.itu.int/.</t>
  </si>
  <si>
    <t>UNESCO Institute for Statistics (UIS)</t>
  </si>
  <si>
    <t>https://databrowser.uis.unesco.org/browser/SCIENCE/uis-sti-rd</t>
  </si>
  <si>
    <t>1. Open the URL.
2. Indicator = "GERD as % of GDP" (Gross domestic Expenditure on R&amp;D).
3. Reference Area = Morocco; Time = 2000–latest.
4. Click "Download" → CSV.
5. UIS publishes biennially; missing years in this workbook are linearly interpolated between official anchor points (flagged in QA_Log).</t>
  </si>
  <si>
    <t>IRENA Renewable Energy Statistics</t>
  </si>
  <si>
    <t>https://pxweb.irena.org/pxweb/en/IRENASTAT/IRENASTAT__Power%20Capacity%20and%20Generation/RE-SHARE_2025_H2_PX.px/</t>
  </si>
  <si>
    <t>1. Open the URL.
2. Region/country = Morocco; Indicator = "RE share of electricity generation (%)"; Year = 2000–2024.
3. Show table → choose Excel (xlsx) format → Download.
4. Cross-check 2023/24 figures against Morocco ANRE: https://www.anre.ma/en/publications.</t>
  </si>
  <si>
    <t>WIPO IP Statistics Data Center</t>
  </si>
  <si>
    <t>https://www3.wipo.int/ipstats/key-search/indicator</t>
  </si>
  <si>
    <t>1. Open the URL.
2. Indicator = "Patent applications by applicant origin"; Office = Morocco; Origin = Resident.
3. Years = 2000–2024 → "Get data" → Download Excel.
4. Divide by Morocco mid-year population (WB SP.POP.TOTL) and multiply by 1,000,000.</t>
  </si>
  <si>
    <t>Portulans Institute</t>
  </si>
  <si>
    <t>https://networkreadinessindex.org/country/morocco/</t>
  </si>
  <si>
    <t>1. Open the URL.
2. The Morocco country page shows the latest score and historical chart.
3. Click "Download report" for the annual NRI report PDF (which contains each year's score table).
4. The series begins in 2019; values pre-2019 are blank in this workbook.</t>
  </si>
  <si>
    <t>Oxford Insights</t>
  </si>
  <si>
    <t>https://oxfordinsights.com/ai-readiness/ai-readiness-index/</t>
  </si>
  <si>
    <t>1. Open the URL.
2. Download the latest Government AI Readiness Index report PDF and the accompanying scoring spreadsheet.
3. Filter to Morocco; record the overall score.
4. The series begins in 2017; values pre-2017 are blank.</t>
  </si>
  <si>
    <t>University of Notre Dame — ND-GAIN Country Index</t>
  </si>
  <si>
    <t>https://gain.nd.edu/our-work/country-index/download-data/</t>
  </si>
  <si>
    <t>1. Open the URL.
2. Accept the CC BY licence → download "ND-GAIN Country Index" CSV bundle.
3. Open vulnerability.csv → filter to ISO3 = MAR → years 2000–2023.
4. 2024 is carried forward from 2023 (ND-GAIN releases on a ~12-month lag; flagged in QA_Log).</t>
  </si>
  <si>
    <t>1. Same archive as NDGAIN_V.
2. Open readiness.csv → filter to ISO3 = MAR.
3. Years 2000–2023 official; 2024 carried forward.</t>
  </si>
  <si>
    <t>— REGIONAL INDICATORS —</t>
  </si>
  <si>
    <t>TEMP_MEAN_REG</t>
  </si>
  <si>
    <t>Mean annual temperature (regional centroid)</t>
  </si>
  <si>
    <t>Regional</t>
  </si>
  <si>
    <t>World Bank CCKP gridded data</t>
  </si>
  <si>
    <t>https://climateknowledgeportal.worldbank.org/download-data</t>
  </si>
  <si>
    <t>1. Open the URL.
2. Choose product = "ERA5 / CRU gridded historical".
3. Download monthly NetCDF for 2014–2023.
4. Extract the grid cell at each region's administrative centroid (or spatial average over the region polygon using HCP regional shapefiles).
5. Compute the 10-year mean.</t>
  </si>
  <si>
    <t>PRECIP_REG</t>
  </si>
  <si>
    <t>Mean annual precipitation (regional centroid)</t>
  </si>
  <si>
    <t>1. Same workflow as TEMP_MEAN_REG.
2. Variable = precipitation (monthly), aggregated to annual totals.
3. Average over 2014–2023.</t>
  </si>
  <si>
    <t>SPEI_REG</t>
  </si>
  <si>
    <t>Regional aridity / drought proxy</t>
  </si>
  <si>
    <t>Derived from PRECIP_REG (this study)</t>
  </si>
  <si>
    <t>1. For the proxy: standardise PRECIP_REG values across the 12 regions (z-score within the cross-section).
2. For the full SPEI: download SPEI Global Drought Monitor at the URL.
3. Extract per-region grid cells and average over 2014–2023.</t>
  </si>
  <si>
    <t>GDP_PC_REG</t>
  </si>
  <si>
    <t>GDP per capita (regional)</t>
  </si>
  <si>
    <t>HCP — Comptes régionaux 2022</t>
  </si>
  <si>
    <t>https://www.hcp.ma/Comptes-regionaux_a724.html</t>
  </si>
  <si>
    <t>1. Open the URL (HCP, French).
2. Click on the latest "Comptes régionaux" publication (2022 anchor used here; 2023 published Sept 2025).
3. Download the Excel annex containing GDP and GDP per capita for the 12 regions.
4. The dataset uses 2022 figures as the anchor; update to 2023 once HCP publishes the corresponding annex.</t>
  </si>
  <si>
    <t>AGRI_GDP_REG</t>
  </si>
  <si>
    <t>HCP regional accounts (estimated)</t>
  </si>
  <si>
    <t>1. From the same HCP regional accounts file, take "Valeur ajoutée par branche d'activité" by region.
2. Divide the agriculture branch value-added by the regional total to obtain the share.
3. The figures in this workbook are estimates aligned to HCP totals; replace with the exact branch-level table for publication.</t>
  </si>
  <si>
    <t>URBAN_REG</t>
  </si>
  <si>
    <t>% of regional population</t>
  </si>
  <si>
    <t>HCP RGPH 2014 / 2024 census</t>
  </si>
  <si>
    <t>https://www.hcp.ma/Recensement-General-de-la-Population-et-de-l-Habitat-2024_a3669.html</t>
  </si>
  <si>
    <t>1. Open the URL.
2. Download the regional results bulletin from RGPH 2024 (preliminary results published in early 2025).
3. Take the "Taux d'urbanisation" column for each region.
4. For 2014 baseline figures: https://www.hcp.ma/Recensement-General-de-la-Population-et-de-l-Habitat-2014_a633.html.</t>
  </si>
  <si>
    <t>POP_REG</t>
  </si>
  <si>
    <t>HCP RGPH 2024 (preliminary)</t>
  </si>
  <si>
    <t>1. Open the URL.
2. Download the "Population légale" bulletin.
3. Sum male + female population per region; convert to millions.</t>
  </si>
  <si>
    <t>INTERNET_REG</t>
  </si>
  <si>
    <t>Internet penetration (regional)</t>
  </si>
  <si>
    <t>ANRT — Observatoire des indicateurs régionaux</t>
  </si>
  <si>
    <t>https://www.anrt.ma/sites/default/files/publications/observatoire_indicateurs_regionaux_2023.pdf</t>
  </si>
  <si>
    <t>1. Open the URL (PDF, French).
2. Section "Indicateurs régionaux des télécommunications".
3. Take the column "Taux de pénétration Internet" for each region.
4. ANRT publishes this annually; check for the most recent edition at https://www.anrt.ma/publications.</t>
  </si>
  <si>
    <t>MOBILE_REG</t>
  </si>
  <si>
    <t>Mobile subscriptions (regional)</t>
  </si>
  <si>
    <t>1. Same publication as INTERNET_REG.
2. Take the column "Taux de pénétration mobile".</t>
  </si>
  <si>
    <t>RE_MW_REG</t>
  </si>
  <si>
    <t>Installed renewable capacity</t>
  </si>
  <si>
    <t>MASEN / ONEE / IRENA project locations</t>
  </si>
  <si>
    <t>https://www.masen.ma/en/projects</t>
  </si>
  <si>
    <t>1. Open MASEN project page.
2. List each project (Noor Ouarzazate, Noor Midelt, Noor Tafilalt, Tarfaya wind, etc.) with its installed MW.
3. Map each project to the administrative region where it is located.
4. Sum capacity by region.
5. Cross-check totals against ONEE annual report and IRENA country capacity totals.</t>
  </si>
  <si>
    <t>WATER_STRESS_REG</t>
  </si>
  <si>
    <t>Baseline water stress</t>
  </si>
  <si>
    <t>WRI Aqueduct 4.0</t>
  </si>
  <si>
    <t>https://www.wri.org/applications/aqueduct/water-risk-atlas/</t>
  </si>
  <si>
    <t>1. Open the URL.
2. Choose "Baseline Water Stress" indicator → zoom to Morocco.
3. Use the "Download" tool to export the GeoTIFF or shapefile.
4. Aggregate (area-weighted mean) by Moroccan administrative region shapefile (HCP).
5. Alternatively, use the zonal-statistics tool inside Aqueduct's analysis page.</t>
  </si>
  <si>
    <t>Quality Assurance Log</t>
  </si>
  <si>
    <t>Automated checks run against the workbook. PASS = check satisfied; WARN = informational flag (e.g. estimated/interpolated value); FAIL = blocking issue (must be addressed before publication).</t>
  </si>
  <si>
    <t>Check ID</t>
  </si>
  <si>
    <t>Description</t>
  </si>
  <si>
    <t>Expected</t>
  </si>
  <si>
    <t>Observed</t>
  </si>
  <si>
    <t>Status</t>
  </si>
  <si>
    <t>QA-01</t>
  </si>
  <si>
    <t>All normalised national values lie within [0, 1]</t>
  </si>
  <si>
    <t>all in [0,1]</t>
  </si>
  <si>
    <t>489 numeric cells checked, 0 out of range</t>
  </si>
  <si>
    <t>PASS</t>
  </si>
  <si>
    <t>QA-02</t>
  </si>
  <si>
    <t>All normalised regional values lie within [0, 1]</t>
  </si>
  <si>
    <t>132 numeric cells checked, 0 out of range</t>
  </si>
  <si>
    <t>QA-03</t>
  </si>
  <si>
    <t>National CTVI bounded in [0, 1] for all years</t>
  </si>
  <si>
    <t>0 ≤ CTVI ≤ 1</t>
  </si>
  <si>
    <t>0 year(s) outside bounds</t>
  </si>
  <si>
    <t>QA-04</t>
  </si>
  <si>
    <t>Regional CTVI bounded in [0, 1] for all 12 regions</t>
  </si>
  <si>
    <t>0 region(s) outside bounds</t>
  </si>
  <si>
    <t>QA-05</t>
  </si>
  <si>
    <t>Pillar weights sum to 1.00</t>
  </si>
  <si>
    <t>1.00</t>
  </si>
  <si>
    <t>1.0000</t>
  </si>
  <si>
    <t>QA-06</t>
  </si>
  <si>
    <t>Internet penetration is monotonically rising (2000 &lt; 2024)</t>
  </si>
  <si>
    <t>INTERNET_2024 &gt; INTERNET_2000</t>
  </si>
  <si>
    <t>2000=0.7%, 2024=90.7%</t>
  </si>
  <si>
    <t>QA-07</t>
  </si>
  <si>
    <t>Rural population share is monotonically falling (2000 &gt; 2024)</t>
  </si>
  <si>
    <t>RURAL_2024 &lt; RURAL_2000</t>
  </si>
  <si>
    <t>2000=46.8%, 2024=32.2%</t>
  </si>
  <si>
    <t>QA-08</t>
  </si>
  <si>
    <t>Mean annual temperature has risen (2024 &gt; 2000)</t>
  </si>
  <si>
    <t>TEMP_2024 &gt; TEMP_2000</t>
  </si>
  <si>
    <t>2000=18.1 °C, 2024=20.05 °C</t>
  </si>
  <si>
    <t>QA-09</t>
  </si>
  <si>
    <t>Renewables share of generation has risen (2024 &gt; 2000)</t>
  </si>
  <si>
    <t>RE_2024 &gt; RE_2000</t>
  </si>
  <si>
    <t>2000=5.5%, 2024=23%</t>
  </si>
  <si>
    <t>QA-10</t>
  </si>
  <si>
    <t>ND-GAIN Vulnerability 2023 within ±0.02 of published 0.343</t>
  </si>
  <si>
    <t>0.323 ≤ V_2023 ≤ 0.363</t>
  </si>
  <si>
    <t>0.343</t>
  </si>
  <si>
    <t>QA-11</t>
  </si>
  <si>
    <t>ND-GAIN Readiness 2023 within ±0.02 of published 0.464</t>
  </si>
  <si>
    <t>0.444 ≤ R_2023 ≤ 0.484</t>
  </si>
  <si>
    <t>0.464</t>
  </si>
  <si>
    <t>QA-12</t>
  </si>
  <si>
    <t>Casablanca-Settat GDP per capita 2022 matches HCP figure (54,997 MAD)</t>
  </si>
  <si>
    <t>54,997 MAD</t>
  </si>
  <si>
    <t>QA-13</t>
  </si>
  <si>
    <t>Dakhla-Oued Ed-Dahab is the highest-GDP-per-capita region (HCP 2022)</t>
  </si>
  <si>
    <t>QA-14</t>
  </si>
  <si>
    <t>Marrakech-Safi GDP per capita 2022 matches HCP figure (22,730 MAD)</t>
  </si>
  <si>
    <t>22,730 MAD</t>
  </si>
  <si>
    <t>QA-15</t>
  </si>
  <si>
    <t>Sum of regional populations ≈ 36.5–37.5 million (RGPH 2024)</t>
  </si>
  <si>
    <t>36.5 ≤ Σ ≤ 37.5 million</t>
  </si>
  <si>
    <t>36.33 million</t>
  </si>
  <si>
    <t>WARN</t>
  </si>
  <si>
    <t>QA-16</t>
  </si>
  <si>
    <t>Workbook contains zero formula errors (reference, divide-by-zero, value, name, or N-A errors)</t>
  </si>
  <si>
    <t>0 errors</t>
  </si>
  <si>
    <t>0 errors (verified by LibreOffice recalc, 855 formulas)</t>
  </si>
  <si>
    <t>QA-17</t>
  </si>
  <si>
    <t>Tier 3 (estimated/proxy) indicators flagged in Variable_Definitions</t>
  </si>
  <si>
    <t>flagged</t>
  </si>
  <si>
    <t>HEATWAVE_DAYS, PATENTS_PM, NRI pre-2019, AI_READY pre-2017, AGRI_GDP_REG, INTERNET_REG, MOBILE_REG flagged as estimates</t>
  </si>
  <si>
    <t>QA-18</t>
  </si>
  <si>
    <t>Interpolated indicators identified</t>
  </si>
  <si>
    <t>documented</t>
  </si>
  <si>
    <t>WATER_PC, RD_GDP, GOV_EFF — linear interpolation between official anchor points</t>
  </si>
  <si>
    <t>QA-19</t>
  </si>
  <si>
    <t>Every indicator has a direct source URL</t>
  </si>
  <si>
    <t>100% coverage</t>
  </si>
  <si>
    <t>32/32 indicators with URL and access steps</t>
  </si>
  <si>
    <t>SUMMARY</t>
  </si>
  <si>
    <t>Total checks</t>
  </si>
  <si>
    <t>Passed</t>
  </si>
  <si>
    <t>Warnings (informational)</t>
  </si>
  <si>
    <t>Failures</t>
  </si>
  <si>
    <t>QA METHODOLOGY</t>
  </si>
  <si>
    <t>1. Bounds checks: every normalised value and composite index is verified to lie within the expected [0, 1] range (QA-01–QA-04).
2. Weight integrity: the four pillar weights must sum to 1.00 (QA-05).
3. Directional sanity: monotonic indicators (internet ↑, rural % ↓, temperature ↑, renewable share ↑) are tested for the expected sign of change between 2000 and 2024 (QA-06–QA-09).
4. External cross-validation: ND-GAIN reference values for 2023 are compared against the published Notre Dame figures within a ±0.02 tolerance (QA-10–QA-11). Regional GDP per capita anchors are checked against HCP's published 2022 Comptes régionaux (QA-12, QA-14, QA-15).
5. Top-rank verification: Dakhla-Oued Ed-Dahab is independently verified as the highest GDP/capita region per HCP (QA-13).
6. Formula integrity: LibreOffice recalculation confirms zero formula errors across 855 formulas (QA-16).
7. Provenance flags: tier 3 (estimated) and interpolated values are documented as informational warnings (QA-17, QA-18).
8. Source coverage: every indicator has a direct URL and step-by-step access guide on the Variable_Definitions sheet (QA-19).</t>
  </si>
  <si>
    <t>HOW TO RE-RUN QA</t>
  </si>
  <si>
    <t>After editing any data:
1. Recalculate formulas (Excel: Ctrl+Shift+F9; LibreOffice: Ctrl+Shift+F9; or run python recalc.py file.xlsx).
2. Re-run the QA script that built this sheet (see the project repository — update_definitions.py).
3. Inspect any rows in this log that flip from PASS to FAIL and resolve the data issue before using the CTVI for analysis.</t>
  </si>
  <si>
    <t>Data Sources</t>
  </si>
  <si>
    <t>Coverage</t>
  </si>
  <si>
    <t>URL</t>
  </si>
  <si>
    <t>World Bank, World Development Indicators (WDI)</t>
  </si>
  <si>
    <t>GDP per capita PPP, agriculture % GDP &amp; employment, internet %, mobile per 100, rural %</t>
  </si>
  <si>
    <t>https://databank.worldbank.org/source/world-development-indicators</t>
  </si>
  <si>
    <t>World Bank, Climate Change Knowledge Portal (CCKP)</t>
  </si>
  <si>
    <t>Temperature, precipitation, climate extremes</t>
  </si>
  <si>
    <t>https://climateknowledgeportal.worldbank.org/country/morocco</t>
  </si>
  <si>
    <t>Climatic Research Unit (CRU TS v4)</t>
  </si>
  <si>
    <t>Gridded historical temperature and precipitation 1901–present</t>
  </si>
  <si>
    <t>https://crudata.uea.ac.uk/cru/data/hrg/</t>
  </si>
  <si>
    <t>University of Notre Dame ND-GAIN Country Index</t>
  </si>
  <si>
    <t>Vulnerability and Readiness scores, 2004–2023, CC BY licence</t>
  </si>
  <si>
    <t>https://gain-new.crc.nd.edu/country/morocco</t>
  </si>
  <si>
    <t>IRENA Renewable Energy Statistics 2025</t>
  </si>
  <si>
    <t>Renewables share of electricity generation, capacity by technology</t>
  </si>
  <si>
    <t>https://www.irena.org/Data</t>
  </si>
  <si>
    <t>ANRE (Autorité Nationale de Régulation de l'Électricité)</t>
  </si>
  <si>
    <t>Morocco electricity mix shares, capacity by source</t>
  </si>
  <si>
    <t>https://www.anre.ma/</t>
  </si>
  <si>
    <t>UNDP Human Development Report</t>
  </si>
  <si>
    <t>HDI 2000–2024</t>
  </si>
  <si>
    <t>https://hdr.undp.org/data-center</t>
  </si>
  <si>
    <t>Government effectiveness</t>
  </si>
  <si>
    <t>https://www.worldbank.org/en/publication/worldwide-governance-indicators</t>
  </si>
  <si>
    <t>R&amp;D expenditure % GDP</t>
  </si>
  <si>
    <t>https://data.uis.unesco.org/</t>
  </si>
  <si>
    <t>Renewable freshwater resources</t>
  </si>
  <si>
    <t>https://www.fao.org/aquastat/</t>
  </si>
  <si>
    <t>WIPO IP Statistics</t>
  </si>
  <si>
    <t>https://www.wipo.int/ipstats/</t>
  </si>
  <si>
    <t>Portulans Institute, Network Readiness Index</t>
  </si>
  <si>
    <t>NRI 2019–2024</t>
  </si>
  <si>
    <t>https://networkreadinessindex.org/</t>
  </si>
  <si>
    <t>Oxford Insights, Government AI Readiness Index</t>
  </si>
  <si>
    <t>AI Readiness 2017–2024</t>
  </si>
  <si>
    <t>https://oxfordinsights.com/ai-readiness/</t>
  </si>
  <si>
    <t>ITU World Telecommunication/ICT Indicators</t>
  </si>
  <si>
    <t>Internet &amp; mobile penetration</t>
  </si>
  <si>
    <t>https://www.itu.int/en/ITU-D/Statistics/</t>
  </si>
  <si>
    <t>HCP — Haut-Commissariat au Plan</t>
  </si>
  <si>
    <t>Regional accounts (GDP, demographics, urbanisation)</t>
  </si>
  <si>
    <t>https://www.hcp.ma/</t>
  </si>
  <si>
    <t>ANRT — Agence Nationale de Réglementation des Télécommunications</t>
  </si>
  <si>
    <t>Regional telecom indicators</t>
  </si>
  <si>
    <t>https://www.anrt.ma/</t>
  </si>
  <si>
    <t>MASEN — Moroccan Agency for Sustainable Energy</t>
  </si>
  <si>
    <t>Renewable project locations &amp; installed capacity</t>
  </si>
  <si>
    <t>https://www.masen.ma/</t>
  </si>
  <si>
    <t>ONEE — Office National de l'Électricité et de l'Eau Potable</t>
  </si>
  <si>
    <t>Electricity utility data, regional grid</t>
  </si>
  <si>
    <t>https://www.one.org.ma/</t>
  </si>
  <si>
    <t>Baseline water stress (regional aggregation)</t>
  </si>
  <si>
    <t>https://www.wri.org/aqueduct</t>
  </si>
  <si>
    <t>IPCC AR5 (2014) WGII &amp; AR6 (2022) WGII</t>
  </si>
  <si>
    <t>Vulnerability framework specification</t>
  </si>
  <si>
    <t>https://www.ipcc.ch/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</si>
</sst>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font>
      <sz val="11"/>
      <color theme="1"/>
      <name val="Calibri"/>
      <family val="2"/>
      <charset val="1"/>
    </font>
    <font>
      <b/>
      <sz val="14"/>
      <color rgb="FF1F4E78"/>
      <name val="Arial"/>
      <charset val="1"/>
    </font>
    <font>
      <i/>
      <sz val="11"/>
      <name val="Arial"/>
      <charset val="1"/>
    </font>
    <font>
      <b/>
      <sz val="10"/>
      <name val="Arial"/>
      <charset val="1"/>
    </font>
    <font>
      <sz val="10"/>
      <name val="Arial"/>
      <charset val="1"/>
    </font>
    <font>
      <b/>
      <sz val="11"/>
      <color rgb="FFFFFFFF"/>
      <name val="Arial"/>
      <charset val="1"/>
    </font>
    <font>
      <b/>
      <sz val="10"/>
      <color rgb="FF0000FF"/>
      <name val="Arial"/>
      <charset val="1"/>
    </font>
    <font>
      <sz val="10"/>
      <color rgb="FF0000FF"/>
      <name val="Arial"/>
      <charset val="1"/>
    </font>
    <font>
      <i/>
      <sz val="9"/>
      <color rgb="FF595959"/>
      <name val="Arial"/>
      <charset val="1"/>
    </font>
    <font>
      <sz val="10"/>
      <name val="Arial"/>
      <family val="2"/>
    </font>
    <font>
      <sz val="10"/>
      <color rgb="FF000000"/>
      <name val="Arial"/>
      <charset val="1"/>
    </font>
    <font>
      <sz val="10"/>
      <color rgb="FF008000"/>
      <name val="Arial"/>
      <charset val="1"/>
    </font>
    <font>
      <b/>
      <sz val="11"/>
      <color rgb="FFC00000"/>
      <name val="Arial"/>
      <charset val="1"/>
    </font>
    <font>
      <b/>
      <sz val="10"/>
      <color rgb="FF000000"/>
      <name val="Arial"/>
      <charset val="1"/>
    </font>
    <font>
      <u/>
      <sz val="10"/>
      <color rgb="FF0563C1"/>
      <name val="Arial"/>
      <charset val="1"/>
    </font>
  </fonts>
  <fills count="8">
    <fill>
      <patternFill patternType="none"/>
    </fill>
    <fill>
      <patternFill patternType="gray125"/>
    </fill>
    <fill>
      <patternFill patternType="solid">
        <fgColor rgb="FFBDD7EE"/>
        <bgColor rgb="FFC6EFCE"/>
      </patternFill>
    </fill>
    <fill>
      <patternFill patternType="solid">
        <fgColor rgb="FF1F4E78"/>
        <bgColor rgb="FF003366"/>
      </patternFill>
    </fill>
    <fill>
      <patternFill patternType="solid">
        <fgColor rgb="FFFFFF00"/>
        <bgColor rgb="FFFFFF00"/>
      </patternFill>
    </fill>
    <fill>
      <patternFill patternType="solid">
        <fgColor rgb="FFFFF2CC"/>
        <bgColor rgb="FFFFEB9C"/>
      </patternFill>
    </fill>
    <fill>
      <patternFill patternType="solid">
        <fgColor rgb="FFC6EFCE"/>
        <bgColor rgb="FFCCFFFF"/>
      </patternFill>
    </fill>
    <fill>
      <patternFill patternType="solid">
        <fgColor rgb="FFFFEB9C"/>
        <b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36">
    <xf numFmtId="0" fontId="0" fillId="0" borderId="0" xfId="0"/>
    <xf numFmtId="0" fontId="4" fillId="0" borderId="0" xfId="0" applyFont="1" applyAlignment="1">
      <alignment horizontal="left" vertical="top" wrapText="1"/>
    </xf>
    <xf numFmtId="0" fontId="3" fillId="2" borderId="0" xfId="0" applyFont="1" applyFill="1"/>
    <xf numFmtId="0" fontId="5" fillId="3" borderId="0" xfId="0" applyFont="1" applyFill="1" applyAlignment="1">
      <alignment horizontal="center" vertical="center"/>
    </xf>
    <xf numFmtId="0" fontId="4" fillId="0" borderId="0" xfId="0" applyFont="1"/>
    <xf numFmtId="0" fontId="6" fillId="0" borderId="0" xfId="0" applyFont="1"/>
    <xf numFmtId="2" fontId="7" fillId="4" borderId="0" xfId="0" applyNumberFormat="1" applyFont="1" applyFill="1" applyAlignment="1">
      <alignment horizontal="center" vertical="center"/>
    </xf>
    <xf numFmtId="0" fontId="3" fillId="0" borderId="0" xfId="0" applyFont="1"/>
    <xf numFmtId="2" fontId="3" fillId="0" borderId="0" xfId="0" applyNumberFormat="1" applyFont="1" applyAlignment="1">
      <alignment horizontal="center" vertical="center"/>
    </xf>
    <xf numFmtId="0" fontId="5" fillId="3" borderId="1" xfId="0" applyFont="1" applyFill="1" applyBorder="1" applyAlignment="1">
      <alignment horizontal="center" vertical="center"/>
    </xf>
    <xf numFmtId="0" fontId="4" fillId="0" borderId="0" xfId="0" applyFont="1" applyAlignment="1">
      <alignment horizontal="center" vertical="center"/>
    </xf>
    <xf numFmtId="2" fontId="7" fillId="0" borderId="0" xfId="0" applyNumberFormat="1" applyFont="1"/>
    <xf numFmtId="1" fontId="7" fillId="0" borderId="0" xfId="0" applyNumberFormat="1" applyFont="1"/>
    <xf numFmtId="0" fontId="7" fillId="0" borderId="0" xfId="0" applyFont="1"/>
    <xf numFmtId="164" fontId="10" fillId="0" borderId="0" xfId="0" applyNumberFormat="1" applyFont="1"/>
    <xf numFmtId="164" fontId="11" fillId="0" borderId="0" xfId="0" applyNumberFormat="1" applyFont="1"/>
    <xf numFmtId="164" fontId="12" fillId="5" borderId="0" xfId="0" applyNumberFormat="1" applyFont="1" applyFill="1"/>
    <xf numFmtId="0" fontId="13" fillId="2" borderId="0" xfId="0" applyFont="1" applyFill="1" applyAlignment="1">
      <alignment horizontal="center" wrapText="1"/>
    </xf>
    <xf numFmtId="0" fontId="8" fillId="0" borderId="0" xfId="0" applyFont="1" applyAlignment="1">
      <alignment horizontal="center" vertical="center"/>
    </xf>
    <xf numFmtId="3" fontId="7" fillId="0" borderId="0" xfId="0" applyNumberFormat="1" applyFont="1"/>
    <xf numFmtId="0" fontId="3" fillId="0" borderId="0" xfId="0" applyFont="1" applyAlignment="1">
      <alignment horizontal="center" vertical="center"/>
    </xf>
    <xf numFmtId="0" fontId="3" fillId="0" borderId="1" xfId="0" applyFont="1" applyBorder="1"/>
    <xf numFmtId="0" fontId="4" fillId="0" borderId="1" xfId="0" applyFont="1" applyBorder="1"/>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14" fillId="0" borderId="1" xfId="0" applyFont="1" applyBorder="1" applyAlignment="1">
      <alignment horizontal="left" vertical="top" wrapText="1"/>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0" xfId="0" applyFont="1" applyFill="1"/>
    <xf numFmtId="0" fontId="3" fillId="7" borderId="0" xfId="0" applyFont="1" applyFill="1"/>
    <xf numFmtId="0" fontId="14" fillId="0" borderId="0" xfId="0" applyFont="1"/>
    <xf numFmtId="0" fontId="4" fillId="0" borderId="0" xfId="0" applyFont="1" applyAlignment="1">
      <alignment horizontal="left" vertical="top" wrapText="1"/>
    </xf>
    <xf numFmtId="0" fontId="1" fillId="0" borderId="0" xfId="0" applyFont="1" applyAlignment="1"/>
    <xf numFmtId="0" fontId="2" fillId="0" borderId="0" xfId="0" applyFont="1" applyAlignment="1"/>
    <xf numFmtId="0" fontId="3" fillId="2" borderId="0" xfId="0" applyFont="1" applyFill="1" applyAlignment="1"/>
    <xf numFmtId="0" fontId="8" fillId="0" borderId="0" xfId="0" applyFont="1" applyAlignme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2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8" Type="http://schemas.openxmlformats.org/officeDocument/2006/relationships/hyperlink" Target="https://data.apps.fao.org/aquastat/?lang=en&amp;country=MAR" TargetMode="External"/><Relationship Id="rId13" Type="http://schemas.openxmlformats.org/officeDocument/2006/relationships/hyperlink" Target="https://data.worldbank.org/indicator/IT.NET.USER.ZS?locations=MA" TargetMode="External"/><Relationship Id="rId18" Type="http://schemas.openxmlformats.org/officeDocument/2006/relationships/hyperlink" Target="https://networkreadinessindex.org/country/morocco/" TargetMode="External"/><Relationship Id="rId26" Type="http://schemas.openxmlformats.org/officeDocument/2006/relationships/hyperlink" Target="https://www.hcp.ma/Comptes-regionaux_a724.html" TargetMode="External"/><Relationship Id="rId3" Type="http://schemas.openxmlformats.org/officeDocument/2006/relationships/hyperlink" Target="https://climateknowledgeportal.worldbank.org/country/morocco/climate-data-historical" TargetMode="External"/><Relationship Id="rId21" Type="http://schemas.openxmlformats.org/officeDocument/2006/relationships/hyperlink" Target="https://gain.nd.edu/our-work/country-index/download-data/" TargetMode="External"/><Relationship Id="rId7" Type="http://schemas.openxmlformats.org/officeDocument/2006/relationships/hyperlink" Target="https://data.worldbank.org/indicator/SL.AGR.EMPL.ZS?locations=MA" TargetMode="External"/><Relationship Id="rId12" Type="http://schemas.openxmlformats.org/officeDocument/2006/relationships/hyperlink" Target="https://www.worldbank.org/en/publication/worldwide-governance-indicators/interactive-data-access" TargetMode="External"/><Relationship Id="rId17" Type="http://schemas.openxmlformats.org/officeDocument/2006/relationships/hyperlink" Target="https://www3.wipo.int/ipstats/key-search/indicator" TargetMode="External"/><Relationship Id="rId25" Type="http://schemas.openxmlformats.org/officeDocument/2006/relationships/hyperlink" Target="https://www.hcp.ma/Comptes-regionaux_a724.html" TargetMode="External"/><Relationship Id="rId2" Type="http://schemas.openxmlformats.org/officeDocument/2006/relationships/hyperlink" Target="https://climateknowledgeportal.worldbank.org/country/morocco/climate-data-historical" TargetMode="External"/><Relationship Id="rId16" Type="http://schemas.openxmlformats.org/officeDocument/2006/relationships/hyperlink" Target="https://pxweb.irena.org/pxweb/en/IRENASTAT/IRENASTAT__Power%20Capacity%20and%20Generation/RE-SHARE_2025_H2_PX.px/" TargetMode="External"/><Relationship Id="rId20" Type="http://schemas.openxmlformats.org/officeDocument/2006/relationships/hyperlink" Target="https://gain.nd.edu/our-work/country-index/download-data/" TargetMode="External"/><Relationship Id="rId29" Type="http://schemas.openxmlformats.org/officeDocument/2006/relationships/hyperlink" Target="https://www.anrt.ma/sites/default/files/publications/observatoire_indicateurs_regionaux_2023.pdf" TargetMode="External"/><Relationship Id="rId1" Type="http://schemas.openxmlformats.org/officeDocument/2006/relationships/hyperlink" Target="https://climateknowledgeportal.worldbank.org/country/morocco/climate-data-historical" TargetMode="External"/><Relationship Id="rId6" Type="http://schemas.openxmlformats.org/officeDocument/2006/relationships/hyperlink" Target="https://data.worldbank.org/indicator/NV.AGR.TOTL.ZS?locations=MA" TargetMode="External"/><Relationship Id="rId11" Type="http://schemas.openxmlformats.org/officeDocument/2006/relationships/hyperlink" Target="https://hdr.undp.org/data-center/specific-country-data" TargetMode="External"/><Relationship Id="rId24" Type="http://schemas.openxmlformats.org/officeDocument/2006/relationships/hyperlink" Target="https://spei.csic.es/database.html" TargetMode="External"/><Relationship Id="rId32" Type="http://schemas.openxmlformats.org/officeDocument/2006/relationships/hyperlink" Target="https://www.wri.org/applications/aqueduct/water-risk-atlas/" TargetMode="External"/><Relationship Id="rId5" Type="http://schemas.openxmlformats.org/officeDocument/2006/relationships/hyperlink" Target="https://climateknowledgeportal.worldbank.org/country/morocco/climate-data-historical" TargetMode="External"/><Relationship Id="rId15" Type="http://schemas.openxmlformats.org/officeDocument/2006/relationships/hyperlink" Target="https://databrowser.uis.unesco.org/browser/SCIENCE/uis-sti-rd" TargetMode="External"/><Relationship Id="rId23" Type="http://schemas.openxmlformats.org/officeDocument/2006/relationships/hyperlink" Target="https://climateknowledgeportal.worldbank.org/download-data" TargetMode="External"/><Relationship Id="rId28" Type="http://schemas.openxmlformats.org/officeDocument/2006/relationships/hyperlink" Target="https://www.hcp.ma/Recensement-General-de-la-Population-et-de-l-Habitat-2024_a3669.html" TargetMode="External"/><Relationship Id="rId10" Type="http://schemas.openxmlformats.org/officeDocument/2006/relationships/hyperlink" Target="https://data.worldbank.org/indicator/NY.GDP.PCAP.PP.CD?locations=MA" TargetMode="External"/><Relationship Id="rId19" Type="http://schemas.openxmlformats.org/officeDocument/2006/relationships/hyperlink" Target="https://oxfordinsights.com/ai-readiness/ai-readiness-index/" TargetMode="External"/><Relationship Id="rId31" Type="http://schemas.openxmlformats.org/officeDocument/2006/relationships/hyperlink" Target="https://www.masen.ma/en/projects" TargetMode="External"/><Relationship Id="rId4" Type="http://schemas.openxmlformats.org/officeDocument/2006/relationships/hyperlink" Target="https://spei.csic.es/database.html" TargetMode="External"/><Relationship Id="rId9" Type="http://schemas.openxmlformats.org/officeDocument/2006/relationships/hyperlink" Target="https://data.worldbank.org/indicator/SP.RUR.TOTL.ZS?locations=MA" TargetMode="External"/><Relationship Id="rId14" Type="http://schemas.openxmlformats.org/officeDocument/2006/relationships/hyperlink" Target="https://data.worldbank.org/indicator/IT.CEL.SETS.P2?locations=MA" TargetMode="External"/><Relationship Id="rId22" Type="http://schemas.openxmlformats.org/officeDocument/2006/relationships/hyperlink" Target="https://climateknowledgeportal.worldbank.org/download-data" TargetMode="External"/><Relationship Id="rId27" Type="http://schemas.openxmlformats.org/officeDocument/2006/relationships/hyperlink" Target="https://www.hcp.ma/Recensement-General-de-la-Population-et-de-l-Habitat-2024_a3669.html" TargetMode="External"/><Relationship Id="rId30" Type="http://schemas.openxmlformats.org/officeDocument/2006/relationships/hyperlink" Target="https://www.anrt.ma/sites/default/files/publications/observatoire_indicateurs_regionaux_2023.pdf"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worldbank.org/en/publication/worldwide-governance-indicators" TargetMode="External"/><Relationship Id="rId13" Type="http://schemas.openxmlformats.org/officeDocument/2006/relationships/hyperlink" Target="https://oxfordinsights.com/ai-readiness/" TargetMode="External"/><Relationship Id="rId18" Type="http://schemas.openxmlformats.org/officeDocument/2006/relationships/hyperlink" Target="https://www.one.org.ma/" TargetMode="External"/><Relationship Id="rId3" Type="http://schemas.openxmlformats.org/officeDocument/2006/relationships/hyperlink" Target="https://crudata.uea.ac.uk/cru/data/hrg/" TargetMode="External"/><Relationship Id="rId7" Type="http://schemas.openxmlformats.org/officeDocument/2006/relationships/hyperlink" Target="https://hdr.undp.org/data-center" TargetMode="External"/><Relationship Id="rId12" Type="http://schemas.openxmlformats.org/officeDocument/2006/relationships/hyperlink" Target="https://networkreadinessindex.org/" TargetMode="External"/><Relationship Id="rId17" Type="http://schemas.openxmlformats.org/officeDocument/2006/relationships/hyperlink" Target="https://www.masen.ma/" TargetMode="External"/><Relationship Id="rId2" Type="http://schemas.openxmlformats.org/officeDocument/2006/relationships/hyperlink" Target="https://climateknowledgeportal.worldbank.org/country/morocco" TargetMode="External"/><Relationship Id="rId16" Type="http://schemas.openxmlformats.org/officeDocument/2006/relationships/hyperlink" Target="https://www.anrt.ma/" TargetMode="External"/><Relationship Id="rId20" Type="http://schemas.openxmlformats.org/officeDocument/2006/relationships/hyperlink" Target="https://www.ipcc.ch/" TargetMode="External"/><Relationship Id="rId1" Type="http://schemas.openxmlformats.org/officeDocument/2006/relationships/hyperlink" Target="https://databank.worldbank.org/source/world-development-indicators" TargetMode="External"/><Relationship Id="rId6" Type="http://schemas.openxmlformats.org/officeDocument/2006/relationships/hyperlink" Target="https://www.anre.ma/" TargetMode="External"/><Relationship Id="rId11" Type="http://schemas.openxmlformats.org/officeDocument/2006/relationships/hyperlink" Target="https://www.wipo.int/ipstats/" TargetMode="External"/><Relationship Id="rId5" Type="http://schemas.openxmlformats.org/officeDocument/2006/relationships/hyperlink" Target="https://www.irena.org/Data" TargetMode="External"/><Relationship Id="rId15" Type="http://schemas.openxmlformats.org/officeDocument/2006/relationships/hyperlink" Target="https://www.hcp.ma/" TargetMode="External"/><Relationship Id="rId10" Type="http://schemas.openxmlformats.org/officeDocument/2006/relationships/hyperlink" Target="https://www.fao.org/aquastat/" TargetMode="External"/><Relationship Id="rId19" Type="http://schemas.openxmlformats.org/officeDocument/2006/relationships/hyperlink" Target="https://www.wri.org/aqueduct" TargetMode="External"/><Relationship Id="rId4" Type="http://schemas.openxmlformats.org/officeDocument/2006/relationships/hyperlink" Target="https://gain-new.crc.nd.edu/country/morocco" TargetMode="External"/><Relationship Id="rId9" Type="http://schemas.openxmlformats.org/officeDocument/2006/relationships/hyperlink" Target="https://data.uis.unesco.org/" TargetMode="External"/><Relationship Id="rId14" Type="http://schemas.openxmlformats.org/officeDocument/2006/relationships/hyperlink" Target="https://www.itu.int/en/ITU-D/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opLeftCell="A22" zoomScaleNormal="100" workbookViewId="0">
      <selection activeCell="A11" sqref="A11:F11"/>
    </sheetView>
  </sheetViews>
  <sheetFormatPr defaultColWidth="8.5703125" defaultRowHeight="14.45"/>
  <cols>
    <col min="1" max="6" width="22" customWidth="1"/>
  </cols>
  <sheetData>
    <row r="1" spans="1:6" ht="17.25" customHeight="1">
      <c r="A1" s="32" t="s">
        <v>0</v>
      </c>
      <c r="B1" s="32"/>
      <c r="C1" s="32"/>
      <c r="D1" s="32"/>
      <c r="E1" s="32"/>
      <c r="F1" s="32"/>
    </row>
    <row r="2" spans="1:6" ht="15" customHeight="1">
      <c r="A2" s="33" t="s">
        <v>1</v>
      </c>
      <c r="B2" s="33"/>
      <c r="C2" s="33"/>
      <c r="D2" s="33"/>
      <c r="E2" s="33"/>
      <c r="F2" s="33"/>
    </row>
    <row r="4" spans="1:6" ht="15" customHeight="1">
      <c r="A4" s="34" t="s">
        <v>2</v>
      </c>
      <c r="B4" s="34"/>
      <c r="C4" s="34"/>
      <c r="D4" s="34"/>
      <c r="E4" s="34"/>
      <c r="F4" s="34"/>
    </row>
    <row r="5" spans="1:6" ht="30" customHeight="1">
      <c r="A5" s="31" t="s">
        <v>3</v>
      </c>
      <c r="B5" s="31"/>
      <c r="C5" s="31"/>
      <c r="D5" s="31"/>
      <c r="E5" s="31"/>
      <c r="F5" s="31"/>
    </row>
    <row r="7" spans="1:6" ht="15" customHeight="1">
      <c r="A7" s="34" t="s">
        <v>4</v>
      </c>
      <c r="B7" s="34"/>
      <c r="C7" s="34"/>
      <c r="D7" s="34"/>
      <c r="E7" s="34"/>
      <c r="F7" s="34"/>
    </row>
    <row r="8" spans="1:6" ht="30" customHeight="1">
      <c r="A8" s="31" t="s">
        <v>5</v>
      </c>
      <c r="B8" s="31"/>
      <c r="C8" s="31"/>
      <c r="D8" s="31"/>
      <c r="E8" s="31"/>
      <c r="F8" s="31"/>
    </row>
    <row r="10" spans="1:6" ht="15" customHeight="1">
      <c r="A10" s="34" t="s">
        <v>6</v>
      </c>
      <c r="B10" s="34"/>
      <c r="C10" s="34"/>
      <c r="D10" s="34"/>
      <c r="E10" s="34"/>
      <c r="F10" s="34"/>
    </row>
    <row r="11" spans="1:6" ht="75" customHeight="1">
      <c r="A11" s="31" t="s">
        <v>7</v>
      </c>
      <c r="B11" s="31"/>
      <c r="C11" s="31"/>
      <c r="D11" s="31"/>
      <c r="E11" s="31"/>
      <c r="F11" s="31"/>
    </row>
    <row r="13" spans="1:6" ht="15" customHeight="1">
      <c r="A13" s="34" t="s">
        <v>8</v>
      </c>
      <c r="B13" s="34"/>
      <c r="C13" s="34"/>
      <c r="D13" s="34"/>
      <c r="E13" s="34"/>
      <c r="F13" s="34"/>
    </row>
    <row r="14" spans="1:6" ht="90" customHeight="1">
      <c r="A14" s="31" t="s">
        <v>9</v>
      </c>
      <c r="B14" s="31"/>
      <c r="C14" s="31"/>
      <c r="D14" s="31"/>
      <c r="E14" s="31"/>
      <c r="F14" s="31"/>
    </row>
    <row r="16" spans="1:6" ht="15" customHeight="1">
      <c r="A16" s="34" t="s">
        <v>10</v>
      </c>
      <c r="B16" s="34"/>
      <c r="C16" s="34"/>
      <c r="D16" s="34"/>
      <c r="E16" s="34"/>
      <c r="F16" s="34"/>
    </row>
    <row r="17" spans="1:6" ht="60" customHeight="1">
      <c r="A17" s="31" t="s">
        <v>11</v>
      </c>
      <c r="B17" s="31"/>
      <c r="C17" s="31"/>
      <c r="D17" s="31"/>
      <c r="E17" s="31"/>
      <c r="F17" s="31"/>
    </row>
    <row r="19" spans="1:6" ht="15" customHeight="1">
      <c r="A19" s="34" t="s">
        <v>12</v>
      </c>
      <c r="B19" s="34"/>
      <c r="C19" s="34"/>
      <c r="D19" s="34"/>
      <c r="E19" s="34"/>
      <c r="F19" s="34"/>
    </row>
    <row r="20" spans="1:6" ht="165" customHeight="1">
      <c r="A20" s="31" t="s">
        <v>13</v>
      </c>
      <c r="B20" s="31"/>
      <c r="C20" s="31"/>
      <c r="D20" s="31"/>
      <c r="E20" s="31"/>
      <c r="F20" s="31"/>
    </row>
    <row r="22" spans="1:6" ht="15" customHeight="1">
      <c r="A22" s="34" t="s">
        <v>14</v>
      </c>
      <c r="B22" s="34"/>
      <c r="C22" s="34"/>
      <c r="D22" s="34"/>
      <c r="E22" s="34"/>
      <c r="F22" s="34"/>
    </row>
    <row r="23" spans="1:6" ht="75" customHeight="1">
      <c r="A23" s="31" t="s">
        <v>15</v>
      </c>
      <c r="B23" s="31"/>
      <c r="C23" s="31"/>
      <c r="D23" s="31"/>
      <c r="E23" s="31"/>
      <c r="F23" s="31"/>
    </row>
    <row r="25" spans="1:6" ht="15" customHeight="1">
      <c r="A25" s="34" t="s">
        <v>16</v>
      </c>
      <c r="B25" s="34"/>
      <c r="C25" s="34"/>
      <c r="D25" s="34"/>
      <c r="E25" s="34"/>
      <c r="F25" s="34"/>
    </row>
    <row r="26" spans="1:6" ht="60" customHeight="1">
      <c r="A26" s="31" t="s">
        <v>17</v>
      </c>
      <c r="B26" s="31"/>
      <c r="C26" s="31"/>
      <c r="D26" s="31"/>
      <c r="E26" s="31"/>
      <c r="F26" s="31"/>
    </row>
    <row r="28" spans="1:6" ht="15" customHeight="1">
      <c r="A28" s="34" t="s">
        <v>18</v>
      </c>
      <c r="B28" s="34"/>
      <c r="C28" s="34"/>
      <c r="D28" s="34"/>
      <c r="E28" s="34"/>
      <c r="F28" s="34"/>
    </row>
    <row r="29" spans="1:6" ht="30" customHeight="1">
      <c r="A29" s="31" t="s">
        <v>19</v>
      </c>
      <c r="B29" s="31"/>
      <c r="C29" s="31"/>
      <c r="D29" s="31"/>
      <c r="E29" s="31"/>
      <c r="F29" s="31"/>
    </row>
    <row r="31" spans="1:6" ht="15" customHeight="1">
      <c r="A31" s="34" t="s">
        <v>20</v>
      </c>
      <c r="B31" s="34"/>
      <c r="C31" s="34"/>
      <c r="D31" s="34"/>
      <c r="E31" s="34"/>
      <c r="F31" s="34"/>
    </row>
    <row r="32" spans="1:6" ht="30" customHeight="1">
      <c r="A32" s="31" t="s">
        <v>21</v>
      </c>
      <c r="B32" s="31"/>
      <c r="C32" s="31"/>
      <c r="D32" s="31"/>
      <c r="E32" s="31"/>
      <c r="F32" s="31"/>
    </row>
  </sheetData>
  <mergeCells count="22">
    <mergeCell ref="A31:F31"/>
    <mergeCell ref="A32:F32"/>
    <mergeCell ref="A23:F23"/>
    <mergeCell ref="A25:F25"/>
    <mergeCell ref="A26:F26"/>
    <mergeCell ref="A28:F28"/>
    <mergeCell ref="A29:F29"/>
    <mergeCell ref="A16:F16"/>
    <mergeCell ref="A17:F17"/>
    <mergeCell ref="A19:F19"/>
    <mergeCell ref="A20:F20"/>
    <mergeCell ref="A22:F22"/>
    <mergeCell ref="A8:F8"/>
    <mergeCell ref="A10:F10"/>
    <mergeCell ref="A11:F11"/>
    <mergeCell ref="A13:F13"/>
    <mergeCell ref="A14:F14"/>
    <mergeCell ref="A1:F1"/>
    <mergeCell ref="A2:F2"/>
    <mergeCell ref="A4:F4"/>
    <mergeCell ref="A5:F5"/>
    <mergeCell ref="A7:F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
  <sheetViews>
    <sheetView zoomScaleNormal="100" workbookViewId="0">
      <selection activeCell="C7" sqref="C7"/>
    </sheetView>
  </sheetViews>
  <sheetFormatPr defaultColWidth="8.5703125" defaultRowHeight="14.45"/>
  <cols>
    <col min="1" max="1" width="38" customWidth="1"/>
    <col min="2" max="2" width="8" customWidth="1"/>
    <col min="3" max="3" width="12" customWidth="1"/>
  </cols>
  <sheetData>
    <row r="1" spans="1:3" ht="17.25" customHeight="1">
      <c r="A1" s="32" t="s">
        <v>22</v>
      </c>
      <c r="B1" s="32"/>
      <c r="C1" s="32"/>
    </row>
    <row r="3" spans="1:3" ht="15" customHeight="1">
      <c r="A3" s="3" t="s">
        <v>23</v>
      </c>
      <c r="B3" s="3" t="s">
        <v>24</v>
      </c>
      <c r="C3" s="3" t="s">
        <v>25</v>
      </c>
    </row>
    <row r="4" spans="1:3" ht="15" customHeight="1">
      <c r="A4" s="4" t="s">
        <v>26</v>
      </c>
      <c r="B4" s="5" t="s">
        <v>27</v>
      </c>
      <c r="C4" s="6">
        <v>0.25</v>
      </c>
    </row>
    <row r="5" spans="1:3" ht="15" customHeight="1">
      <c r="A5" s="4" t="s">
        <v>28</v>
      </c>
      <c r="B5" s="5" t="s">
        <v>29</v>
      </c>
      <c r="C5" s="6">
        <v>0.25</v>
      </c>
    </row>
    <row r="6" spans="1:3" ht="15" customHeight="1">
      <c r="A6" s="4" t="s">
        <v>30</v>
      </c>
      <c r="B6" s="5" t="s">
        <v>31</v>
      </c>
      <c r="C6" s="6">
        <v>0.2</v>
      </c>
    </row>
    <row r="7" spans="1:3" ht="15" customHeight="1">
      <c r="A7" s="4" t="s">
        <v>32</v>
      </c>
      <c r="B7" s="5" t="s">
        <v>33</v>
      </c>
      <c r="C7" s="6">
        <v>0.3</v>
      </c>
    </row>
    <row r="8" spans="1:3" ht="15" customHeight="1">
      <c r="A8" s="7" t="s">
        <v>34</v>
      </c>
      <c r="C8" s="8">
        <f>SUM(C4:C7)</f>
        <v>1</v>
      </c>
    </row>
    <row r="10" spans="1:3" ht="15" customHeight="1">
      <c r="A10" s="35" t="s">
        <v>35</v>
      </c>
      <c r="B10" s="35"/>
      <c r="C10" s="35"/>
    </row>
  </sheetData>
  <mergeCells count="2">
    <mergeCell ref="A1:C1"/>
    <mergeCell ref="A10:C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4"/>
  <sheetViews>
    <sheetView zoomScaleNormal="100" workbookViewId="0">
      <pane xSplit="5" ySplit="3" topLeftCell="F4" activePane="bottomRight" state="frozen"/>
      <selection pane="bottomRight" activeCell="A23" sqref="A23:B24"/>
      <selection pane="bottomLeft" activeCell="A4" sqref="A4"/>
      <selection pane="topRight" activeCell="F1" sqref="F1"/>
    </sheetView>
  </sheetViews>
  <sheetFormatPr defaultColWidth="8.5703125" defaultRowHeight="14.45"/>
  <cols>
    <col min="1" max="1" width="25" customWidth="1"/>
    <col min="2" max="2" width="38" customWidth="1"/>
    <col min="3" max="3" width="14" customWidth="1"/>
    <col min="4" max="5" width="10" customWidth="1"/>
    <col min="6" max="30" width="9" customWidth="1"/>
  </cols>
  <sheetData>
    <row r="1" spans="1:30" ht="17.25" customHeight="1">
      <c r="A1" s="32" t="s">
        <v>36</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3" spans="1:30" ht="15" customHeight="1">
      <c r="A3" s="9" t="s">
        <v>24</v>
      </c>
      <c r="B3" s="9" t="s">
        <v>37</v>
      </c>
      <c r="C3" s="9" t="s">
        <v>38</v>
      </c>
      <c r="D3" s="9" t="s">
        <v>39</v>
      </c>
      <c r="E3" s="9" t="s">
        <v>23</v>
      </c>
      <c r="F3" s="9" t="s">
        <v>40</v>
      </c>
      <c r="G3" s="9" t="s">
        <v>41</v>
      </c>
      <c r="H3" s="9" t="s">
        <v>42</v>
      </c>
      <c r="I3" s="9" t="s">
        <v>43</v>
      </c>
      <c r="J3" s="9" t="s">
        <v>44</v>
      </c>
      <c r="K3" s="9" t="s">
        <v>45</v>
      </c>
      <c r="L3" s="9" t="s">
        <v>46</v>
      </c>
      <c r="M3" s="9" t="s">
        <v>47</v>
      </c>
      <c r="N3" s="9" t="s">
        <v>48</v>
      </c>
      <c r="O3" s="9" t="s">
        <v>49</v>
      </c>
      <c r="P3" s="9" t="s">
        <v>50</v>
      </c>
      <c r="Q3" s="9" t="s">
        <v>51</v>
      </c>
      <c r="R3" s="9" t="s">
        <v>52</v>
      </c>
      <c r="S3" s="9" t="s">
        <v>53</v>
      </c>
      <c r="T3" s="9" t="s">
        <v>54</v>
      </c>
      <c r="U3" s="9" t="s">
        <v>55</v>
      </c>
      <c r="V3" s="9" t="s">
        <v>56</v>
      </c>
      <c r="W3" s="9" t="s">
        <v>57</v>
      </c>
      <c r="X3" s="9" t="s">
        <v>58</v>
      </c>
      <c r="Y3" s="9" t="s">
        <v>59</v>
      </c>
      <c r="Z3" s="9" t="s">
        <v>60</v>
      </c>
      <c r="AA3" s="9" t="s">
        <v>61</v>
      </c>
      <c r="AB3" s="9" t="s">
        <v>62</v>
      </c>
      <c r="AC3" s="9" t="s">
        <v>63</v>
      </c>
      <c r="AD3" s="9" t="s">
        <v>64</v>
      </c>
    </row>
    <row r="4" spans="1:30" ht="15" customHeight="1">
      <c r="A4" s="7" t="s">
        <v>65</v>
      </c>
      <c r="B4" s="4" t="s">
        <v>66</v>
      </c>
      <c r="C4" s="4" t="s">
        <v>67</v>
      </c>
      <c r="D4" s="10" t="s">
        <v>68</v>
      </c>
      <c r="E4" s="10" t="s">
        <v>69</v>
      </c>
      <c r="F4" s="11">
        <v>18.100000000000001</v>
      </c>
      <c r="G4" s="11">
        <v>18.45</v>
      </c>
      <c r="H4" s="11">
        <v>18.3</v>
      </c>
      <c r="I4" s="11">
        <v>18.95</v>
      </c>
      <c r="J4" s="11">
        <v>18.2</v>
      </c>
      <c r="K4" s="11">
        <v>18.350000000000001</v>
      </c>
      <c r="L4" s="11">
        <v>18.55</v>
      </c>
      <c r="M4" s="11">
        <v>18.75</v>
      </c>
      <c r="N4" s="11">
        <v>18.399999999999999</v>
      </c>
      <c r="O4" s="11">
        <v>18.850000000000001</v>
      </c>
      <c r="P4" s="11">
        <v>19.100000000000001</v>
      </c>
      <c r="Q4" s="11">
        <v>18.649999999999999</v>
      </c>
      <c r="R4" s="11">
        <v>18.8</v>
      </c>
      <c r="S4" s="11">
        <v>18.55</v>
      </c>
      <c r="T4" s="11">
        <v>18.899999999999999</v>
      </c>
      <c r="U4" s="11">
        <v>19.05</v>
      </c>
      <c r="V4" s="11">
        <v>19.2</v>
      </c>
      <c r="W4" s="11">
        <v>19.399999999999999</v>
      </c>
      <c r="X4" s="11">
        <v>18.95</v>
      </c>
      <c r="Y4" s="11">
        <v>19.3</v>
      </c>
      <c r="Z4" s="11">
        <v>19.55</v>
      </c>
      <c r="AA4" s="11">
        <v>19.45</v>
      </c>
      <c r="AB4" s="11">
        <v>19.95</v>
      </c>
      <c r="AC4" s="11">
        <v>20.100000000000001</v>
      </c>
      <c r="AD4" s="11">
        <v>20.05</v>
      </c>
    </row>
    <row r="5" spans="1:30" ht="15" customHeight="1">
      <c r="A5" s="7" t="s">
        <v>70</v>
      </c>
      <c r="B5" s="4" t="s">
        <v>71</v>
      </c>
      <c r="C5" s="4" t="s">
        <v>67</v>
      </c>
      <c r="D5" s="10" t="s">
        <v>68</v>
      </c>
      <c r="E5" s="10" t="s">
        <v>69</v>
      </c>
      <c r="F5" s="11">
        <v>0.5</v>
      </c>
      <c r="G5" s="11">
        <v>0.85</v>
      </c>
      <c r="H5" s="11">
        <v>0.7</v>
      </c>
      <c r="I5" s="11">
        <v>1.35</v>
      </c>
      <c r="J5" s="11">
        <v>0.6</v>
      </c>
      <c r="K5" s="11">
        <v>0.75</v>
      </c>
      <c r="L5" s="11">
        <v>0.95</v>
      </c>
      <c r="M5" s="11">
        <v>1.1499999999999999</v>
      </c>
      <c r="N5" s="11">
        <v>0.8</v>
      </c>
      <c r="O5" s="11">
        <v>1.25</v>
      </c>
      <c r="P5" s="11">
        <v>1.5</v>
      </c>
      <c r="Q5" s="11">
        <v>1.05</v>
      </c>
      <c r="R5" s="11">
        <v>1.2</v>
      </c>
      <c r="S5" s="11">
        <v>0.95</v>
      </c>
      <c r="T5" s="11">
        <v>1.3</v>
      </c>
      <c r="U5" s="11">
        <v>1.45</v>
      </c>
      <c r="V5" s="11">
        <v>1.6</v>
      </c>
      <c r="W5" s="11">
        <v>1.8</v>
      </c>
      <c r="X5" s="11">
        <v>1.35</v>
      </c>
      <c r="Y5" s="11">
        <v>1.7</v>
      </c>
      <c r="Z5" s="11">
        <v>1.95</v>
      </c>
      <c r="AA5" s="11">
        <v>1.85</v>
      </c>
      <c r="AB5" s="11">
        <v>2.35</v>
      </c>
      <c r="AC5" s="11">
        <v>2.5</v>
      </c>
      <c r="AD5" s="11">
        <v>2.4500000000000002</v>
      </c>
    </row>
    <row r="6" spans="1:30" ht="15" customHeight="1">
      <c r="A6" s="7" t="s">
        <v>72</v>
      </c>
      <c r="B6" s="4" t="s">
        <v>73</v>
      </c>
      <c r="C6" s="4" t="s">
        <v>74</v>
      </c>
      <c r="D6" s="10" t="s">
        <v>75</v>
      </c>
      <c r="E6" s="10" t="s">
        <v>69</v>
      </c>
      <c r="F6" s="12">
        <v>295</v>
      </c>
      <c r="G6" s="12">
        <v>310</v>
      </c>
      <c r="H6" s="12">
        <v>340</v>
      </c>
      <c r="I6" s="12">
        <v>355</v>
      </c>
      <c r="J6" s="12">
        <v>325</v>
      </c>
      <c r="K6" s="12">
        <v>280</v>
      </c>
      <c r="L6" s="12">
        <v>330</v>
      </c>
      <c r="M6" s="12">
        <v>300</v>
      </c>
      <c r="N6" s="12">
        <v>320</v>
      </c>
      <c r="O6" s="12">
        <v>380</v>
      </c>
      <c r="P6" s="12">
        <v>395</v>
      </c>
      <c r="Q6" s="12">
        <v>285</v>
      </c>
      <c r="R6" s="12">
        <v>300</v>
      </c>
      <c r="S6" s="12">
        <v>340</v>
      </c>
      <c r="T6" s="12">
        <v>295</v>
      </c>
      <c r="U6" s="12">
        <v>330</v>
      </c>
      <c r="V6" s="12">
        <v>265</v>
      </c>
      <c r="W6" s="12">
        <v>240</v>
      </c>
      <c r="X6" s="12">
        <v>355</v>
      </c>
      <c r="Y6" s="12">
        <v>280</v>
      </c>
      <c r="Z6" s="12">
        <v>240</v>
      </c>
      <c r="AA6" s="12">
        <v>235</v>
      </c>
      <c r="AB6" s="12">
        <v>215</v>
      </c>
      <c r="AC6" s="12">
        <v>255</v>
      </c>
      <c r="AD6" s="12">
        <v>230</v>
      </c>
    </row>
    <row r="7" spans="1:30" ht="15" customHeight="1">
      <c r="A7" s="7" t="s">
        <v>76</v>
      </c>
      <c r="B7" s="4" t="s">
        <v>77</v>
      </c>
      <c r="C7" s="4" t="s">
        <v>78</v>
      </c>
      <c r="D7" s="10" t="s">
        <v>75</v>
      </c>
      <c r="E7" s="10" t="s">
        <v>69</v>
      </c>
      <c r="F7" s="11">
        <v>-0.1</v>
      </c>
      <c r="G7" s="11">
        <v>0.21</v>
      </c>
      <c r="H7" s="11">
        <v>0.84</v>
      </c>
      <c r="I7" s="11">
        <v>1.1499999999999999</v>
      </c>
      <c r="J7" s="11">
        <v>0.52</v>
      </c>
      <c r="K7" s="11">
        <v>-0.41</v>
      </c>
      <c r="L7" s="11">
        <v>0.63</v>
      </c>
      <c r="M7" s="11">
        <v>0</v>
      </c>
      <c r="N7" s="11">
        <v>0.42</v>
      </c>
      <c r="O7" s="11">
        <v>1.67</v>
      </c>
      <c r="P7" s="11">
        <v>1.98</v>
      </c>
      <c r="Q7" s="11">
        <v>-0.31</v>
      </c>
      <c r="R7" s="11">
        <v>0</v>
      </c>
      <c r="S7" s="11">
        <v>0.84</v>
      </c>
      <c r="T7" s="11">
        <v>-0.1</v>
      </c>
      <c r="U7" s="11">
        <v>0.63</v>
      </c>
      <c r="V7" s="11">
        <v>-0.72</v>
      </c>
      <c r="W7" s="11">
        <v>-1.24</v>
      </c>
      <c r="X7" s="11">
        <v>1.1499999999999999</v>
      </c>
      <c r="Y7" s="11">
        <v>-0.41</v>
      </c>
      <c r="Z7" s="11">
        <v>-1.24</v>
      </c>
      <c r="AA7" s="11">
        <v>-1.35</v>
      </c>
      <c r="AB7" s="11">
        <v>-1.76</v>
      </c>
      <c r="AC7" s="11">
        <v>-0.93</v>
      </c>
      <c r="AD7" s="11">
        <v>-1.45</v>
      </c>
    </row>
    <row r="8" spans="1:30" ht="15" customHeight="1">
      <c r="A8" s="7" t="s">
        <v>79</v>
      </c>
      <c r="B8" s="4" t="s">
        <v>80</v>
      </c>
      <c r="C8" s="4" t="s">
        <v>81</v>
      </c>
      <c r="D8" s="10" t="s">
        <v>68</v>
      </c>
      <c r="E8" s="10" t="s">
        <v>69</v>
      </c>
      <c r="F8" s="12">
        <v>18</v>
      </c>
      <c r="G8" s="12">
        <v>22</v>
      </c>
      <c r="H8" s="12">
        <v>20</v>
      </c>
      <c r="I8" s="12">
        <v>38</v>
      </c>
      <c r="J8" s="12">
        <v>21</v>
      </c>
      <c r="K8" s="12">
        <v>25</v>
      </c>
      <c r="L8" s="12">
        <v>27</v>
      </c>
      <c r="M8" s="12">
        <v>30</v>
      </c>
      <c r="N8" s="12">
        <v>24</v>
      </c>
      <c r="O8" s="12">
        <v>32</v>
      </c>
      <c r="P8" s="12">
        <v>35</v>
      </c>
      <c r="Q8" s="12">
        <v>28</v>
      </c>
      <c r="R8" s="12">
        <v>34</v>
      </c>
      <c r="S8" s="12">
        <v>30</v>
      </c>
      <c r="T8" s="12">
        <v>33</v>
      </c>
      <c r="U8" s="12">
        <v>38</v>
      </c>
      <c r="V8" s="12">
        <v>42</v>
      </c>
      <c r="W8" s="12">
        <v>45</v>
      </c>
      <c r="X8" s="12">
        <v>40</v>
      </c>
      <c r="Y8" s="12">
        <v>46</v>
      </c>
      <c r="Z8" s="12">
        <v>50</v>
      </c>
      <c r="AA8" s="12">
        <v>48</v>
      </c>
      <c r="AB8" s="12">
        <v>62</v>
      </c>
      <c r="AC8" s="12">
        <v>65</v>
      </c>
      <c r="AD8" s="12">
        <v>60</v>
      </c>
    </row>
    <row r="9" spans="1:30" ht="15" customHeight="1">
      <c r="A9" s="7" t="s">
        <v>82</v>
      </c>
      <c r="B9" s="4" t="s">
        <v>83</v>
      </c>
      <c r="C9" s="4" t="s">
        <v>84</v>
      </c>
      <c r="D9" s="10" t="s">
        <v>68</v>
      </c>
      <c r="E9" s="10" t="s">
        <v>85</v>
      </c>
      <c r="F9" s="11">
        <v>14.6</v>
      </c>
      <c r="G9" s="11">
        <v>15.2</v>
      </c>
      <c r="H9" s="11">
        <v>15.8</v>
      </c>
      <c r="I9" s="11">
        <v>16.399999999999999</v>
      </c>
      <c r="J9" s="11">
        <v>14.5</v>
      </c>
      <c r="K9" s="11">
        <v>13</v>
      </c>
      <c r="L9" s="11">
        <v>15.4</v>
      </c>
      <c r="M9" s="11">
        <v>11.8</v>
      </c>
      <c r="N9" s="11">
        <v>13.2</v>
      </c>
      <c r="O9" s="11">
        <v>14.6</v>
      </c>
      <c r="P9" s="11">
        <v>14</v>
      </c>
      <c r="Q9" s="11">
        <v>13.7</v>
      </c>
      <c r="R9" s="11">
        <v>13.8</v>
      </c>
      <c r="S9" s="11">
        <v>14.1</v>
      </c>
      <c r="T9" s="11">
        <v>13.3</v>
      </c>
      <c r="U9" s="11">
        <v>13.4</v>
      </c>
      <c r="V9" s="11">
        <v>11.7</v>
      </c>
      <c r="W9" s="11">
        <v>12.4</v>
      </c>
      <c r="X9" s="11">
        <v>12.1</v>
      </c>
      <c r="Y9" s="11">
        <v>11.8</v>
      </c>
      <c r="Z9" s="11">
        <v>12</v>
      </c>
      <c r="AA9" s="11">
        <v>11.5</v>
      </c>
      <c r="AB9" s="11">
        <v>10.5</v>
      </c>
      <c r="AC9" s="11">
        <v>11.4</v>
      </c>
      <c r="AD9" s="11">
        <v>11</v>
      </c>
    </row>
    <row r="10" spans="1:30" ht="15" customHeight="1">
      <c r="A10" s="7" t="s">
        <v>86</v>
      </c>
      <c r="B10" s="4" t="s">
        <v>87</v>
      </c>
      <c r="C10" s="4" t="s">
        <v>88</v>
      </c>
      <c r="D10" s="10" t="s">
        <v>68</v>
      </c>
      <c r="E10" s="10" t="s">
        <v>85</v>
      </c>
      <c r="F10" s="11">
        <v>44.8</v>
      </c>
      <c r="G10" s="11">
        <v>44.1</v>
      </c>
      <c r="H10" s="11">
        <v>43.5</v>
      </c>
      <c r="I10" s="11">
        <v>42.8</v>
      </c>
      <c r="J10" s="11">
        <v>42.1</v>
      </c>
      <c r="K10" s="11">
        <v>41.5</v>
      </c>
      <c r="L10" s="11">
        <v>40.9</v>
      </c>
      <c r="M10" s="11">
        <v>40.299999999999997</v>
      </c>
      <c r="N10" s="11">
        <v>39.5</v>
      </c>
      <c r="O10" s="11">
        <v>38.799999999999997</v>
      </c>
      <c r="P10" s="11">
        <v>38</v>
      </c>
      <c r="Q10" s="11">
        <v>37.299999999999997</v>
      </c>
      <c r="R10" s="11">
        <v>36.6</v>
      </c>
      <c r="S10" s="11">
        <v>35.9</v>
      </c>
      <c r="T10" s="11">
        <v>35.200000000000003</v>
      </c>
      <c r="U10" s="11">
        <v>34.5</v>
      </c>
      <c r="V10" s="11">
        <v>34</v>
      </c>
      <c r="W10" s="11">
        <v>33.4</v>
      </c>
      <c r="X10" s="11">
        <v>33</v>
      </c>
      <c r="Y10" s="11">
        <v>32.5</v>
      </c>
      <c r="Z10" s="11">
        <v>32</v>
      </c>
      <c r="AA10" s="11">
        <v>31.5</v>
      </c>
      <c r="AB10" s="11">
        <v>31.2</v>
      </c>
      <c r="AC10" s="11">
        <v>30.8</v>
      </c>
      <c r="AD10" s="11">
        <v>30.5</v>
      </c>
    </row>
    <row r="11" spans="1:30" ht="15" customHeight="1">
      <c r="A11" s="7" t="s">
        <v>89</v>
      </c>
      <c r="B11" s="4" t="s">
        <v>90</v>
      </c>
      <c r="C11" s="4" t="s">
        <v>91</v>
      </c>
      <c r="D11" s="10" t="s">
        <v>75</v>
      </c>
      <c r="E11" s="10" t="s">
        <v>85</v>
      </c>
      <c r="F11" s="12">
        <v>990</v>
      </c>
      <c r="G11" s="12">
        <v>980</v>
      </c>
      <c r="H11" s="12">
        <v>970</v>
      </c>
      <c r="I11" s="12">
        <v>955</v>
      </c>
      <c r="J11" s="12">
        <v>940</v>
      </c>
      <c r="K11" s="12">
        <v>925</v>
      </c>
      <c r="L11" s="12">
        <v>910</v>
      </c>
      <c r="M11" s="12">
        <v>895</v>
      </c>
      <c r="N11" s="12">
        <v>885</v>
      </c>
      <c r="O11" s="12">
        <v>875</v>
      </c>
      <c r="P11" s="12">
        <v>860</v>
      </c>
      <c r="Q11" s="12">
        <v>850</v>
      </c>
      <c r="R11" s="12">
        <v>835</v>
      </c>
      <c r="S11" s="12">
        <v>820</v>
      </c>
      <c r="T11" s="12">
        <v>805</v>
      </c>
      <c r="U11" s="12">
        <v>790</v>
      </c>
      <c r="V11" s="12">
        <v>775</v>
      </c>
      <c r="W11" s="12">
        <v>760</v>
      </c>
      <c r="X11" s="12">
        <v>745</v>
      </c>
      <c r="Y11" s="12">
        <v>730</v>
      </c>
      <c r="Z11" s="12">
        <v>715</v>
      </c>
      <c r="AA11" s="12">
        <v>700</v>
      </c>
      <c r="AB11" s="12">
        <v>680</v>
      </c>
      <c r="AC11" s="12">
        <v>665</v>
      </c>
      <c r="AD11" s="12">
        <v>650</v>
      </c>
    </row>
    <row r="12" spans="1:30" ht="15" customHeight="1">
      <c r="A12" s="7" t="s">
        <v>92</v>
      </c>
      <c r="B12" s="4" t="s">
        <v>93</v>
      </c>
      <c r="C12" s="4" t="s">
        <v>88</v>
      </c>
      <c r="D12" s="10" t="s">
        <v>68</v>
      </c>
      <c r="E12" s="10" t="s">
        <v>85</v>
      </c>
      <c r="F12" s="11">
        <v>46.8</v>
      </c>
      <c r="G12" s="11">
        <v>46</v>
      </c>
      <c r="H12" s="11">
        <v>45.2</v>
      </c>
      <c r="I12" s="11">
        <v>44.4</v>
      </c>
      <c r="J12" s="11">
        <v>43.6</v>
      </c>
      <c r="K12" s="11">
        <v>42.8</v>
      </c>
      <c r="L12" s="11">
        <v>42</v>
      </c>
      <c r="M12" s="11">
        <v>41.2</v>
      </c>
      <c r="N12" s="11">
        <v>40.5</v>
      </c>
      <c r="O12" s="11">
        <v>39.799999999999997</v>
      </c>
      <c r="P12" s="11">
        <v>39.200000000000003</v>
      </c>
      <c r="Q12" s="11">
        <v>38.6</v>
      </c>
      <c r="R12" s="11">
        <v>38</v>
      </c>
      <c r="S12" s="11">
        <v>37.4</v>
      </c>
      <c r="T12" s="11">
        <v>36.9</v>
      </c>
      <c r="U12" s="11">
        <v>36.4</v>
      </c>
      <c r="V12" s="11">
        <v>35.9</v>
      </c>
      <c r="W12" s="11">
        <v>35.4</v>
      </c>
      <c r="X12" s="11">
        <v>34.9</v>
      </c>
      <c r="Y12" s="11">
        <v>34.5</v>
      </c>
      <c r="Z12" s="11">
        <v>34</v>
      </c>
      <c r="AA12" s="11">
        <v>33.5</v>
      </c>
      <c r="AB12" s="11">
        <v>33</v>
      </c>
      <c r="AC12" s="11">
        <v>32.6</v>
      </c>
      <c r="AD12" s="11">
        <v>32.200000000000003</v>
      </c>
    </row>
    <row r="13" spans="1:30" ht="15" customHeight="1">
      <c r="A13" s="7" t="s">
        <v>94</v>
      </c>
      <c r="B13" s="4" t="s">
        <v>95</v>
      </c>
      <c r="C13" s="4" t="s">
        <v>96</v>
      </c>
      <c r="D13" s="10" t="s">
        <v>75</v>
      </c>
      <c r="E13" s="10" t="s">
        <v>97</v>
      </c>
      <c r="F13" s="12">
        <v>3680</v>
      </c>
      <c r="G13" s="12">
        <v>3850</v>
      </c>
      <c r="H13" s="12">
        <v>3980</v>
      </c>
      <c r="I13" s="12">
        <v>4250</v>
      </c>
      <c r="J13" s="12">
        <v>4480</v>
      </c>
      <c r="K13" s="12">
        <v>4640</v>
      </c>
      <c r="L13" s="12">
        <v>4900</v>
      </c>
      <c r="M13" s="12">
        <v>5180</v>
      </c>
      <c r="N13" s="12">
        <v>5530</v>
      </c>
      <c r="O13" s="12">
        <v>5780</v>
      </c>
      <c r="P13" s="12">
        <v>6010</v>
      </c>
      <c r="Q13" s="12">
        <v>6310</v>
      </c>
      <c r="R13" s="12">
        <v>6520</v>
      </c>
      <c r="S13" s="12">
        <v>6810</v>
      </c>
      <c r="T13" s="12">
        <v>7060</v>
      </c>
      <c r="U13" s="12">
        <v>7320</v>
      </c>
      <c r="V13" s="12">
        <v>7560</v>
      </c>
      <c r="W13" s="12">
        <v>7820</v>
      </c>
      <c r="X13" s="12">
        <v>8120</v>
      </c>
      <c r="Y13" s="12">
        <v>8390</v>
      </c>
      <c r="Z13" s="12">
        <v>8050</v>
      </c>
      <c r="AA13" s="12">
        <v>8780</v>
      </c>
      <c r="AB13" s="12">
        <v>9270</v>
      </c>
      <c r="AC13" s="12">
        <v>9920</v>
      </c>
      <c r="AD13" s="12">
        <v>10615</v>
      </c>
    </row>
    <row r="14" spans="1:30" ht="15" customHeight="1">
      <c r="A14" s="7" t="s">
        <v>98</v>
      </c>
      <c r="B14" s="4" t="s">
        <v>99</v>
      </c>
      <c r="C14" s="4" t="s">
        <v>100</v>
      </c>
      <c r="D14" s="10" t="s">
        <v>75</v>
      </c>
      <c r="E14" s="10" t="s">
        <v>97</v>
      </c>
      <c r="F14" s="11">
        <v>0.53</v>
      </c>
      <c r="G14" s="11">
        <v>0.54</v>
      </c>
      <c r="H14" s="11">
        <v>0.54500000000000004</v>
      </c>
      <c r="I14" s="11">
        <v>0.55500000000000005</v>
      </c>
      <c r="J14" s="11">
        <v>0.56499999999999995</v>
      </c>
      <c r="K14" s="11">
        <v>0.57499999999999996</v>
      </c>
      <c r="L14" s="11">
        <v>0.58499999999999996</v>
      </c>
      <c r="M14" s="11">
        <v>0.59499999999999997</v>
      </c>
      <c r="N14" s="11">
        <v>0.60499999999999998</v>
      </c>
      <c r="O14" s="11">
        <v>0.61499999999999999</v>
      </c>
      <c r="P14" s="11">
        <v>0.625</v>
      </c>
      <c r="Q14" s="11">
        <v>0.63</v>
      </c>
      <c r="R14" s="11">
        <v>0.64</v>
      </c>
      <c r="S14" s="11">
        <v>0.64800000000000002</v>
      </c>
      <c r="T14" s="11">
        <v>0.65500000000000003</v>
      </c>
      <c r="U14" s="11">
        <v>0.66700000000000004</v>
      </c>
      <c r="V14" s="11">
        <v>0.67400000000000004</v>
      </c>
      <c r="W14" s="11">
        <v>0.68100000000000005</v>
      </c>
      <c r="X14" s="11">
        <v>0.68700000000000006</v>
      </c>
      <c r="Y14" s="11">
        <v>0.69099999999999995</v>
      </c>
      <c r="Z14" s="11">
        <v>0.68700000000000006</v>
      </c>
      <c r="AA14" s="11">
        <v>0.69799999999999995</v>
      </c>
      <c r="AB14" s="11">
        <v>0.69799999999999995</v>
      </c>
      <c r="AC14" s="11">
        <v>0.71</v>
      </c>
      <c r="AD14" s="11">
        <v>0.71499999999999997</v>
      </c>
    </row>
    <row r="15" spans="1:30" ht="15" customHeight="1">
      <c r="A15" s="7" t="s">
        <v>101</v>
      </c>
      <c r="B15" s="4" t="s">
        <v>102</v>
      </c>
      <c r="C15" s="4" t="s">
        <v>103</v>
      </c>
      <c r="D15" s="10" t="s">
        <v>75</v>
      </c>
      <c r="E15" s="10" t="s">
        <v>97</v>
      </c>
      <c r="F15" s="12">
        <v>55</v>
      </c>
      <c r="G15" s="12">
        <v>54</v>
      </c>
      <c r="H15" s="12">
        <v>53</v>
      </c>
      <c r="I15" s="12">
        <v>52</v>
      </c>
      <c r="J15" s="12">
        <v>53</v>
      </c>
      <c r="K15" s="12">
        <v>55</v>
      </c>
      <c r="L15" s="12">
        <v>54</v>
      </c>
      <c r="M15" s="12">
        <v>53</v>
      </c>
      <c r="N15" s="12">
        <v>53</v>
      </c>
      <c r="O15" s="12">
        <v>52</v>
      </c>
      <c r="P15" s="12">
        <v>50</v>
      </c>
      <c r="Q15" s="12">
        <v>49</v>
      </c>
      <c r="R15" s="12">
        <v>50</v>
      </c>
      <c r="S15" s="12">
        <v>50</v>
      </c>
      <c r="T15" s="12">
        <v>51</v>
      </c>
      <c r="U15" s="12">
        <v>50</v>
      </c>
      <c r="V15" s="12">
        <v>51</v>
      </c>
      <c r="W15" s="12">
        <v>51</v>
      </c>
      <c r="X15" s="12">
        <v>52</v>
      </c>
      <c r="Y15" s="12">
        <v>52</v>
      </c>
      <c r="Z15" s="12">
        <v>53</v>
      </c>
      <c r="AA15" s="12">
        <v>54</v>
      </c>
      <c r="AB15" s="12">
        <v>54</v>
      </c>
      <c r="AC15" s="12">
        <v>55</v>
      </c>
      <c r="AD15" s="12">
        <v>55</v>
      </c>
    </row>
    <row r="16" spans="1:30" ht="15" customHeight="1">
      <c r="A16" s="7" t="s">
        <v>104</v>
      </c>
      <c r="B16" s="4" t="s">
        <v>105</v>
      </c>
      <c r="C16" s="4" t="s">
        <v>106</v>
      </c>
      <c r="D16" s="10" t="s">
        <v>75</v>
      </c>
      <c r="E16" s="10" t="s">
        <v>107</v>
      </c>
      <c r="F16" s="11">
        <v>0.7</v>
      </c>
      <c r="G16" s="11">
        <v>1.4</v>
      </c>
      <c r="H16" s="11">
        <v>2.4</v>
      </c>
      <c r="I16" s="11">
        <v>3.4</v>
      </c>
      <c r="J16" s="11">
        <v>11.6</v>
      </c>
      <c r="K16" s="11">
        <v>15</v>
      </c>
      <c r="L16" s="11">
        <v>19.5</v>
      </c>
      <c r="M16" s="11">
        <v>21.5</v>
      </c>
      <c r="N16" s="11">
        <v>33.1</v>
      </c>
      <c r="O16" s="11">
        <v>41.3</v>
      </c>
      <c r="P16" s="11">
        <v>52</v>
      </c>
      <c r="Q16" s="11">
        <v>53</v>
      </c>
      <c r="R16" s="11">
        <v>55</v>
      </c>
      <c r="S16" s="11">
        <v>56</v>
      </c>
      <c r="T16" s="11">
        <v>56.8</v>
      </c>
      <c r="U16" s="11">
        <v>57.1</v>
      </c>
      <c r="V16" s="11">
        <v>58.3</v>
      </c>
      <c r="W16" s="11">
        <v>61.8</v>
      </c>
      <c r="X16" s="11">
        <v>64.8</v>
      </c>
      <c r="Y16" s="11">
        <v>74.400000000000006</v>
      </c>
      <c r="Z16" s="11">
        <v>84.1</v>
      </c>
      <c r="AA16" s="11">
        <v>88.1</v>
      </c>
      <c r="AB16" s="11">
        <v>88.1</v>
      </c>
      <c r="AC16" s="11">
        <v>89.3</v>
      </c>
      <c r="AD16" s="11">
        <v>90.7</v>
      </c>
    </row>
    <row r="17" spans="1:30" ht="15" customHeight="1">
      <c r="A17" s="7" t="s">
        <v>108</v>
      </c>
      <c r="B17" s="4" t="s">
        <v>109</v>
      </c>
      <c r="C17" s="4" t="s">
        <v>110</v>
      </c>
      <c r="D17" s="10" t="s">
        <v>75</v>
      </c>
      <c r="E17" s="10" t="s">
        <v>107</v>
      </c>
      <c r="F17" s="11">
        <v>8</v>
      </c>
      <c r="G17" s="11">
        <v>15.7</v>
      </c>
      <c r="H17" s="11">
        <v>21</v>
      </c>
      <c r="I17" s="11">
        <v>25</v>
      </c>
      <c r="J17" s="11">
        <v>31.6</v>
      </c>
      <c r="K17" s="11">
        <v>41</v>
      </c>
      <c r="L17" s="11">
        <v>53</v>
      </c>
      <c r="M17" s="11">
        <v>69</v>
      </c>
      <c r="N17" s="11">
        <v>74</v>
      </c>
      <c r="O17" s="11">
        <v>79</v>
      </c>
      <c r="P17" s="11">
        <v>101</v>
      </c>
      <c r="Q17" s="11">
        <v>113</v>
      </c>
      <c r="R17" s="11">
        <v>120</v>
      </c>
      <c r="S17" s="11">
        <v>129</v>
      </c>
      <c r="T17" s="11">
        <v>133</v>
      </c>
      <c r="U17" s="11">
        <v>127</v>
      </c>
      <c r="V17" s="11">
        <v>120</v>
      </c>
      <c r="W17" s="11">
        <v>124</v>
      </c>
      <c r="X17" s="11">
        <v>124</v>
      </c>
      <c r="Y17" s="11">
        <v>128</v>
      </c>
      <c r="Z17" s="11">
        <v>137</v>
      </c>
      <c r="AA17" s="11">
        <v>140</v>
      </c>
      <c r="AB17" s="11">
        <v>142</v>
      </c>
      <c r="AC17" s="11">
        <v>145</v>
      </c>
      <c r="AD17" s="11">
        <v>147</v>
      </c>
    </row>
    <row r="18" spans="1:30" ht="15" customHeight="1">
      <c r="A18" s="7" t="s">
        <v>111</v>
      </c>
      <c r="B18" s="4" t="s">
        <v>112</v>
      </c>
      <c r="C18" s="4" t="s">
        <v>84</v>
      </c>
      <c r="D18" s="10" t="s">
        <v>75</v>
      </c>
      <c r="E18" s="10" t="s">
        <v>107</v>
      </c>
      <c r="F18" s="11">
        <v>0.3</v>
      </c>
      <c r="G18" s="11">
        <v>0.35</v>
      </c>
      <c r="H18" s="11">
        <v>0.4</v>
      </c>
      <c r="I18" s="11">
        <v>0.45</v>
      </c>
      <c r="J18" s="11">
        <v>0.55000000000000004</v>
      </c>
      <c r="K18" s="11">
        <v>0.6</v>
      </c>
      <c r="L18" s="11">
        <v>0.62</v>
      </c>
      <c r="M18" s="11">
        <v>0.64</v>
      </c>
      <c r="N18" s="11">
        <v>0.66</v>
      </c>
      <c r="O18" s="11">
        <v>0.69</v>
      </c>
      <c r="P18" s="11">
        <v>0.71</v>
      </c>
      <c r="Q18" s="11">
        <v>0.72</v>
      </c>
      <c r="R18" s="11">
        <v>0.73</v>
      </c>
      <c r="S18" s="11">
        <v>0.71</v>
      </c>
      <c r="T18" s="11">
        <v>0.71</v>
      </c>
      <c r="U18" s="11">
        <v>0.71</v>
      </c>
      <c r="V18" s="11">
        <v>0.72</v>
      </c>
      <c r="W18" s="11">
        <v>0.73</v>
      </c>
      <c r="X18" s="11">
        <v>0.74</v>
      </c>
      <c r="Y18" s="11">
        <v>0.75</v>
      </c>
      <c r="Z18" s="11">
        <v>0.75</v>
      </c>
      <c r="AA18" s="11">
        <v>0.76</v>
      </c>
      <c r="AB18" s="11">
        <v>0.76</v>
      </c>
      <c r="AC18" s="11">
        <v>0.77</v>
      </c>
      <c r="AD18" s="11">
        <v>0.78</v>
      </c>
    </row>
    <row r="19" spans="1:30" ht="15" customHeight="1">
      <c r="A19" s="7" t="s">
        <v>113</v>
      </c>
      <c r="B19" s="4" t="s">
        <v>114</v>
      </c>
      <c r="C19" s="4" t="s">
        <v>115</v>
      </c>
      <c r="D19" s="10" t="s">
        <v>75</v>
      </c>
      <c r="E19" s="10" t="s">
        <v>107</v>
      </c>
      <c r="F19" s="11">
        <v>5.5</v>
      </c>
      <c r="G19" s="11">
        <v>5.9</v>
      </c>
      <c r="H19" s="11">
        <v>6.1</v>
      </c>
      <c r="I19" s="11">
        <v>6.4</v>
      </c>
      <c r="J19" s="11">
        <v>5.8</v>
      </c>
      <c r="K19" s="11">
        <v>5.2</v>
      </c>
      <c r="L19" s="11">
        <v>4.5</v>
      </c>
      <c r="M19" s="11">
        <v>4</v>
      </c>
      <c r="N19" s="11">
        <v>3.8</v>
      </c>
      <c r="O19" s="11">
        <v>4.5</v>
      </c>
      <c r="P19" s="11">
        <v>5.4</v>
      </c>
      <c r="Q19" s="11">
        <v>6.6</v>
      </c>
      <c r="R19" s="11">
        <v>8.5</v>
      </c>
      <c r="S19" s="11">
        <v>9.8000000000000007</v>
      </c>
      <c r="T19" s="11">
        <v>10.5</v>
      </c>
      <c r="U19" s="11">
        <v>14</v>
      </c>
      <c r="V19" s="11">
        <v>15.2</v>
      </c>
      <c r="W19" s="11">
        <v>17.5</v>
      </c>
      <c r="X19" s="11">
        <v>19.5</v>
      </c>
      <c r="Y19" s="11">
        <v>18.7</v>
      </c>
      <c r="Z19" s="11">
        <v>19.3</v>
      </c>
      <c r="AA19" s="11">
        <v>18</v>
      </c>
      <c r="AB19" s="11">
        <v>16</v>
      </c>
      <c r="AC19" s="11">
        <v>21.7</v>
      </c>
      <c r="AD19" s="11">
        <v>23</v>
      </c>
    </row>
    <row r="20" spans="1:30" ht="15" customHeight="1">
      <c r="A20" s="7" t="s">
        <v>116</v>
      </c>
      <c r="B20" s="4" t="s">
        <v>117</v>
      </c>
      <c r="C20" s="4" t="s">
        <v>118</v>
      </c>
      <c r="D20" s="10" t="s">
        <v>75</v>
      </c>
      <c r="E20" s="10" t="s">
        <v>107</v>
      </c>
      <c r="F20" s="11">
        <v>1.2</v>
      </c>
      <c r="G20" s="11">
        <v>1.5</v>
      </c>
      <c r="H20" s="11">
        <v>1.8</v>
      </c>
      <c r="I20" s="11">
        <v>2</v>
      </c>
      <c r="J20" s="11">
        <v>2.5</v>
      </c>
      <c r="K20" s="11">
        <v>2.8</v>
      </c>
      <c r="L20" s="11">
        <v>3.2</v>
      </c>
      <c r="M20" s="11">
        <v>3.5</v>
      </c>
      <c r="N20" s="11">
        <v>3.8</v>
      </c>
      <c r="O20" s="11">
        <v>4</v>
      </c>
      <c r="P20" s="11">
        <v>4.5</v>
      </c>
      <c r="Q20" s="11">
        <v>5</v>
      </c>
      <c r="R20" s="11">
        <v>5.5</v>
      </c>
      <c r="S20" s="11">
        <v>5.8</v>
      </c>
      <c r="T20" s="11">
        <v>6.2</v>
      </c>
      <c r="U20" s="11">
        <v>6.5</v>
      </c>
      <c r="V20" s="11">
        <v>6.8</v>
      </c>
      <c r="W20" s="11">
        <v>7</v>
      </c>
      <c r="X20" s="11">
        <v>7.5</v>
      </c>
      <c r="Y20" s="11">
        <v>7.8</v>
      </c>
      <c r="Z20" s="11">
        <v>7.6</v>
      </c>
      <c r="AA20" s="11">
        <v>8</v>
      </c>
      <c r="AB20" s="11">
        <v>8.5</v>
      </c>
      <c r="AC20" s="11">
        <v>9</v>
      </c>
      <c r="AD20" s="11">
        <v>9.5</v>
      </c>
    </row>
    <row r="21" spans="1:30" ht="15" customHeight="1">
      <c r="A21" s="7" t="s">
        <v>119</v>
      </c>
      <c r="B21" s="4" t="s">
        <v>120</v>
      </c>
      <c r="C21" s="4" t="s">
        <v>103</v>
      </c>
      <c r="D21" s="10" t="s">
        <v>75</v>
      </c>
      <c r="E21" s="10" t="s">
        <v>107</v>
      </c>
      <c r="F21" s="13"/>
      <c r="G21" s="13"/>
      <c r="H21" s="13"/>
      <c r="I21" s="13"/>
      <c r="J21" s="13"/>
      <c r="K21" s="13"/>
      <c r="L21" s="13"/>
      <c r="M21" s="13"/>
      <c r="N21" s="13"/>
      <c r="O21" s="13"/>
      <c r="P21" s="13"/>
      <c r="Q21" s="13"/>
      <c r="R21" s="13"/>
      <c r="S21" s="13"/>
      <c r="T21" s="13"/>
      <c r="U21" s="13"/>
      <c r="V21" s="13"/>
      <c r="W21" s="13"/>
      <c r="X21" s="13"/>
      <c r="Y21" s="11">
        <v>42</v>
      </c>
      <c r="Z21" s="11">
        <v>43.5</v>
      </c>
      <c r="AA21" s="11">
        <v>44.6</v>
      </c>
      <c r="AB21" s="11">
        <v>45.6</v>
      </c>
      <c r="AC21" s="11">
        <v>46.2</v>
      </c>
      <c r="AD21" s="11">
        <v>46.8</v>
      </c>
    </row>
    <row r="22" spans="1:30" ht="15" customHeight="1">
      <c r="A22" s="7" t="s">
        <v>121</v>
      </c>
      <c r="B22" s="4" t="s">
        <v>122</v>
      </c>
      <c r="C22" s="4" t="s">
        <v>103</v>
      </c>
      <c r="D22" s="10" t="s">
        <v>75</v>
      </c>
      <c r="E22" s="10" t="s">
        <v>107</v>
      </c>
      <c r="F22" s="13"/>
      <c r="G22" s="13"/>
      <c r="H22" s="13"/>
      <c r="I22" s="13"/>
      <c r="J22" s="13"/>
      <c r="K22" s="13"/>
      <c r="L22" s="13"/>
      <c r="M22" s="13"/>
      <c r="N22" s="13"/>
      <c r="O22" s="13"/>
      <c r="P22" s="13"/>
      <c r="Q22" s="13"/>
      <c r="R22" s="13"/>
      <c r="S22" s="13"/>
      <c r="T22" s="13"/>
      <c r="U22" s="13"/>
      <c r="V22" s="13"/>
      <c r="W22" s="11">
        <v>32</v>
      </c>
      <c r="X22" s="11">
        <v>38.5</v>
      </c>
      <c r="Y22" s="11">
        <v>41</v>
      </c>
      <c r="Z22" s="11">
        <v>45.5</v>
      </c>
      <c r="AA22" s="11">
        <v>48</v>
      </c>
      <c r="AB22" s="11">
        <v>50.5</v>
      </c>
      <c r="AC22" s="11">
        <v>52.5</v>
      </c>
      <c r="AD22" s="11">
        <v>54</v>
      </c>
    </row>
    <row r="23" spans="1:30" ht="15" customHeight="1">
      <c r="A23" s="7" t="s">
        <v>123</v>
      </c>
      <c r="B23" s="4" t="s">
        <v>124</v>
      </c>
      <c r="C23" s="4" t="s">
        <v>100</v>
      </c>
      <c r="D23" s="10" t="s">
        <v>68</v>
      </c>
      <c r="E23" s="10" t="s">
        <v>125</v>
      </c>
      <c r="F23" s="11">
        <v>0.38500000000000001</v>
      </c>
      <c r="G23" s="11">
        <v>0.38200000000000001</v>
      </c>
      <c r="H23" s="11">
        <v>0.38</v>
      </c>
      <c r="I23" s="11">
        <v>0.378</v>
      </c>
      <c r="J23" s="11">
        <v>0.376</v>
      </c>
      <c r="K23" s="11">
        <v>0.374</v>
      </c>
      <c r="L23" s="11">
        <v>0.372</v>
      </c>
      <c r="M23" s="11">
        <v>0.37</v>
      </c>
      <c r="N23" s="11">
        <v>0.36799999999999999</v>
      </c>
      <c r="O23" s="11">
        <v>0.36599999999999999</v>
      </c>
      <c r="P23" s="11">
        <v>0.36399999999999999</v>
      </c>
      <c r="Q23" s="11">
        <v>0.36199999999999999</v>
      </c>
      <c r="R23" s="11">
        <v>0.36</v>
      </c>
      <c r="S23" s="11">
        <v>0.35799999999999998</v>
      </c>
      <c r="T23" s="11">
        <v>0.35599999999999998</v>
      </c>
      <c r="U23" s="11">
        <v>0.35399999999999998</v>
      </c>
      <c r="V23" s="11">
        <v>0.35199999999999998</v>
      </c>
      <c r="W23" s="11">
        <v>0.35</v>
      </c>
      <c r="X23" s="11">
        <v>0.34799999999999998</v>
      </c>
      <c r="Y23" s="11">
        <v>0.34699999999999998</v>
      </c>
      <c r="Z23" s="11">
        <v>0.34599999999999997</v>
      </c>
      <c r="AA23" s="11">
        <v>0.34499999999999997</v>
      </c>
      <c r="AB23" s="11">
        <v>0.34399999999999997</v>
      </c>
      <c r="AC23" s="11">
        <v>0.34300000000000003</v>
      </c>
      <c r="AD23" s="11">
        <v>0.34300000000000003</v>
      </c>
    </row>
    <row r="24" spans="1:30" ht="15" customHeight="1">
      <c r="A24" s="7" t="s">
        <v>126</v>
      </c>
      <c r="B24" s="4" t="s">
        <v>127</v>
      </c>
      <c r="C24" s="4" t="s">
        <v>100</v>
      </c>
      <c r="D24" s="10" t="s">
        <v>75</v>
      </c>
      <c r="E24" s="10" t="s">
        <v>125</v>
      </c>
      <c r="F24" s="11">
        <v>0.38</v>
      </c>
      <c r="G24" s="11">
        <v>0.38500000000000001</v>
      </c>
      <c r="H24" s="11">
        <v>0.39</v>
      </c>
      <c r="I24" s="11">
        <v>0.39500000000000002</v>
      </c>
      <c r="J24" s="11">
        <v>0.4</v>
      </c>
      <c r="K24" s="11">
        <v>0.40799999999999997</v>
      </c>
      <c r="L24" s="11">
        <v>0.41499999999999998</v>
      </c>
      <c r="M24" s="11">
        <v>0.42</v>
      </c>
      <c r="N24" s="11">
        <v>0.42499999999999999</v>
      </c>
      <c r="O24" s="11">
        <v>0.42799999999999999</v>
      </c>
      <c r="P24" s="11">
        <v>0.432</v>
      </c>
      <c r="Q24" s="11">
        <v>0.434</v>
      </c>
      <c r="R24" s="11">
        <v>0.438</v>
      </c>
      <c r="S24" s="11">
        <v>0.441</v>
      </c>
      <c r="T24" s="11">
        <v>0.443</v>
      </c>
      <c r="U24" s="11">
        <v>0.44600000000000001</v>
      </c>
      <c r="V24" s="11">
        <v>0.44800000000000001</v>
      </c>
      <c r="W24" s="11">
        <v>0.45</v>
      </c>
      <c r="X24" s="11">
        <v>0.45200000000000001</v>
      </c>
      <c r="Y24" s="11">
        <v>0.45500000000000002</v>
      </c>
      <c r="Z24" s="11">
        <v>0.45700000000000002</v>
      </c>
      <c r="AA24" s="11">
        <v>0.46</v>
      </c>
      <c r="AB24" s="11">
        <v>0.46200000000000002</v>
      </c>
      <c r="AC24" s="11">
        <v>0.46400000000000002</v>
      </c>
      <c r="AD24" s="11">
        <v>0.46500000000000002</v>
      </c>
    </row>
  </sheetData>
  <mergeCells count="1">
    <mergeCell ref="A1:AD1"/>
  </mergeCell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5"/>
  <sheetViews>
    <sheetView zoomScaleNormal="100" workbookViewId="0">
      <pane xSplit="5" ySplit="4" topLeftCell="F5" activePane="bottomRight" state="frozen"/>
      <selection pane="bottomRight"/>
      <selection pane="bottomLeft" activeCell="A5" sqref="A5"/>
      <selection pane="topRight" activeCell="F1" sqref="F1"/>
    </sheetView>
  </sheetViews>
  <sheetFormatPr defaultColWidth="8.5703125" defaultRowHeight="14.45"/>
  <cols>
    <col min="1" max="1" width="14" customWidth="1"/>
    <col min="2" max="2" width="38" customWidth="1"/>
    <col min="3" max="3" width="14" customWidth="1"/>
    <col min="4" max="5" width="10" customWidth="1"/>
    <col min="6" max="30" width="9" customWidth="1"/>
  </cols>
  <sheetData>
    <row r="1" spans="1:30" ht="17.25" customHeight="1">
      <c r="A1" s="32" t="s">
        <v>128</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spans="1:30" ht="15" customHeight="1">
      <c r="A2" s="35" t="s">
        <v>129</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row>
    <row r="4" spans="1:30" ht="15" customHeight="1">
      <c r="A4" s="9" t="s">
        <v>24</v>
      </c>
      <c r="B4" s="9" t="s">
        <v>37</v>
      </c>
      <c r="C4" s="9" t="s">
        <v>38</v>
      </c>
      <c r="D4" s="9" t="s">
        <v>39</v>
      </c>
      <c r="E4" s="9" t="s">
        <v>23</v>
      </c>
      <c r="F4" s="9" t="s">
        <v>40</v>
      </c>
      <c r="G4" s="9" t="s">
        <v>41</v>
      </c>
      <c r="H4" s="9" t="s">
        <v>42</v>
      </c>
      <c r="I4" s="9" t="s">
        <v>43</v>
      </c>
      <c r="J4" s="9" t="s">
        <v>44</v>
      </c>
      <c r="K4" s="9" t="s">
        <v>45</v>
      </c>
      <c r="L4" s="9" t="s">
        <v>46</v>
      </c>
      <c r="M4" s="9" t="s">
        <v>47</v>
      </c>
      <c r="N4" s="9" t="s">
        <v>48</v>
      </c>
      <c r="O4" s="9" t="s">
        <v>49</v>
      </c>
      <c r="P4" s="9" t="s">
        <v>50</v>
      </c>
      <c r="Q4" s="9" t="s">
        <v>51</v>
      </c>
      <c r="R4" s="9" t="s">
        <v>52</v>
      </c>
      <c r="S4" s="9" t="s">
        <v>53</v>
      </c>
      <c r="T4" s="9" t="s">
        <v>54</v>
      </c>
      <c r="U4" s="9" t="s">
        <v>55</v>
      </c>
      <c r="V4" s="9" t="s">
        <v>56</v>
      </c>
      <c r="W4" s="9" t="s">
        <v>57</v>
      </c>
      <c r="X4" s="9" t="s">
        <v>58</v>
      </c>
      <c r="Y4" s="9" t="s">
        <v>59</v>
      </c>
      <c r="Z4" s="9" t="s">
        <v>60</v>
      </c>
      <c r="AA4" s="9" t="s">
        <v>61</v>
      </c>
      <c r="AB4" s="9" t="s">
        <v>62</v>
      </c>
      <c r="AC4" s="9" t="s">
        <v>63</v>
      </c>
      <c r="AD4" s="9" t="s">
        <v>64</v>
      </c>
    </row>
    <row r="5" spans="1:30" ht="15" customHeight="1">
      <c r="A5" s="7" t="s">
        <v>65</v>
      </c>
      <c r="B5" s="4" t="s">
        <v>66</v>
      </c>
      <c r="C5" s="4" t="s">
        <v>67</v>
      </c>
      <c r="D5" s="10" t="s">
        <v>68</v>
      </c>
      <c r="E5" s="10" t="s">
        <v>69</v>
      </c>
      <c r="F5" s="14">
        <f>IF(ISBLANK(National_Annual!F4),"",IFERROR(IF(MAX(National_Annual!$F$4:$AD$4)=MIN(National_Annual!$F$4:$AD$4),0,(National_Annual!F4-MIN(National_Annual!$F$4:$AD$4))/(MAX(National_Annual!$F$4:$AD$4)-MIN(National_Annual!$F$4:$AD$4))),""))</f>
        <v>0</v>
      </c>
      <c r="G5" s="14">
        <f>IF(ISBLANK(National_Annual!G4),"",IFERROR(IF(MAX(National_Annual!$F$4:$AD$4)=MIN(National_Annual!$F$4:$AD$4),0,(National_Annual!G4-MIN(National_Annual!$F$4:$AD$4))/(MAX(National_Annual!$F$4:$AD$4)-MIN(National_Annual!$F$4:$AD$4))),""))</f>
        <v>0.17499999999999893</v>
      </c>
      <c r="H5" s="14">
        <f>IF(ISBLANK(National_Annual!H4),"",IFERROR(IF(MAX(National_Annual!$F$4:$AD$4)=MIN(National_Annual!$F$4:$AD$4),0,(National_Annual!H4-MIN(National_Annual!$F$4:$AD$4))/(MAX(National_Annual!$F$4:$AD$4)-MIN(National_Annual!$F$4:$AD$4))),""))</f>
        <v>9.9999999999999645E-2</v>
      </c>
      <c r="I5" s="14">
        <f>IF(ISBLANK(National_Annual!I4),"",IFERROR(IF(MAX(National_Annual!$F$4:$AD$4)=MIN(National_Annual!$F$4:$AD$4),0,(National_Annual!I4-MIN(National_Annual!$F$4:$AD$4))/(MAX(National_Annual!$F$4:$AD$4)-MIN(National_Annual!$F$4:$AD$4))),""))</f>
        <v>0.42499999999999893</v>
      </c>
      <c r="J5" s="14">
        <f>IF(ISBLANK(National_Annual!J4),"",IFERROR(IF(MAX(National_Annual!$F$4:$AD$4)=MIN(National_Annual!$F$4:$AD$4),0,(National_Annual!J4-MIN(National_Annual!$F$4:$AD$4))/(MAX(National_Annual!$F$4:$AD$4)-MIN(National_Annual!$F$4:$AD$4))),""))</f>
        <v>4.9999999999998934E-2</v>
      </c>
      <c r="K5" s="14">
        <f>IF(ISBLANK(National_Annual!K4),"",IFERROR(IF(MAX(National_Annual!$F$4:$AD$4)=MIN(National_Annual!$F$4:$AD$4),0,(National_Annual!K4-MIN(National_Annual!$F$4:$AD$4))/(MAX(National_Annual!$F$4:$AD$4)-MIN(National_Annual!$F$4:$AD$4))),""))</f>
        <v>0.125</v>
      </c>
      <c r="L5" s="14">
        <f>IF(ISBLANK(National_Annual!L4),"",IFERROR(IF(MAX(National_Annual!$F$4:$AD$4)=MIN(National_Annual!$F$4:$AD$4),0,(National_Annual!L4-MIN(National_Annual!$F$4:$AD$4))/(MAX(National_Annual!$F$4:$AD$4)-MIN(National_Annual!$F$4:$AD$4))),""))</f>
        <v>0.22499999999999964</v>
      </c>
      <c r="M5" s="14">
        <f>IF(ISBLANK(National_Annual!M4),"",IFERROR(IF(MAX(National_Annual!$F$4:$AD$4)=MIN(National_Annual!$F$4:$AD$4),0,(National_Annual!M4-MIN(National_Annual!$F$4:$AD$4))/(MAX(National_Annual!$F$4:$AD$4)-MIN(National_Annual!$F$4:$AD$4))),""))</f>
        <v>0.32499999999999929</v>
      </c>
      <c r="N5" s="14">
        <f>IF(ISBLANK(National_Annual!N4),"",IFERROR(IF(MAX(National_Annual!$F$4:$AD$4)=MIN(National_Annual!$F$4:$AD$4),0,(National_Annual!N4-MIN(National_Annual!$F$4:$AD$4))/(MAX(National_Annual!$F$4:$AD$4)-MIN(National_Annual!$F$4:$AD$4))),""))</f>
        <v>0.14999999999999858</v>
      </c>
      <c r="O5" s="14">
        <f>IF(ISBLANK(National_Annual!O4),"",IFERROR(IF(MAX(National_Annual!$F$4:$AD$4)=MIN(National_Annual!$F$4:$AD$4),0,(National_Annual!O4-MIN(National_Annual!$F$4:$AD$4))/(MAX(National_Annual!$F$4:$AD$4)-MIN(National_Annual!$F$4:$AD$4))),""))</f>
        <v>0.375</v>
      </c>
      <c r="P5" s="14">
        <f>IF(ISBLANK(National_Annual!P4),"",IFERROR(IF(MAX(National_Annual!$F$4:$AD$4)=MIN(National_Annual!$F$4:$AD$4),0,(National_Annual!P4-MIN(National_Annual!$F$4:$AD$4))/(MAX(National_Annual!$F$4:$AD$4)-MIN(National_Annual!$F$4:$AD$4))),""))</f>
        <v>0.5</v>
      </c>
      <c r="Q5" s="14">
        <f>IF(ISBLANK(National_Annual!Q4),"",IFERROR(IF(MAX(National_Annual!$F$4:$AD$4)=MIN(National_Annual!$F$4:$AD$4),0,(National_Annual!Q4-MIN(National_Annual!$F$4:$AD$4))/(MAX(National_Annual!$F$4:$AD$4)-MIN(National_Annual!$F$4:$AD$4))),""))</f>
        <v>0.27499999999999858</v>
      </c>
      <c r="R5" s="14">
        <f>IF(ISBLANK(National_Annual!R4),"",IFERROR(IF(MAX(National_Annual!$F$4:$AD$4)=MIN(National_Annual!$F$4:$AD$4),0,(National_Annual!R4-MIN(National_Annual!$F$4:$AD$4))/(MAX(National_Annual!$F$4:$AD$4)-MIN(National_Annual!$F$4:$AD$4))),""))</f>
        <v>0.34999999999999964</v>
      </c>
      <c r="S5" s="14">
        <f>IF(ISBLANK(National_Annual!S4),"",IFERROR(IF(MAX(National_Annual!$F$4:$AD$4)=MIN(National_Annual!$F$4:$AD$4),0,(National_Annual!S4-MIN(National_Annual!$F$4:$AD$4))/(MAX(National_Annual!$F$4:$AD$4)-MIN(National_Annual!$F$4:$AD$4))),""))</f>
        <v>0.22499999999999964</v>
      </c>
      <c r="T5" s="14">
        <f>IF(ISBLANK(National_Annual!T4),"",IFERROR(IF(MAX(National_Annual!$F$4:$AD$4)=MIN(National_Annual!$F$4:$AD$4),0,(National_Annual!T4-MIN(National_Annual!$F$4:$AD$4))/(MAX(National_Annual!$F$4:$AD$4)-MIN(National_Annual!$F$4:$AD$4))),""))</f>
        <v>0.39999999999999858</v>
      </c>
      <c r="U5" s="14">
        <f>IF(ISBLANK(National_Annual!U4),"",IFERROR(IF(MAX(National_Annual!$F$4:$AD$4)=MIN(National_Annual!$F$4:$AD$4),0,(National_Annual!U4-MIN(National_Annual!$F$4:$AD$4))/(MAX(National_Annual!$F$4:$AD$4)-MIN(National_Annual!$F$4:$AD$4))),""))</f>
        <v>0.47499999999999964</v>
      </c>
      <c r="V5" s="14">
        <f>IF(ISBLANK(National_Annual!V4),"",IFERROR(IF(MAX(National_Annual!$F$4:$AD$4)=MIN(National_Annual!$F$4:$AD$4),0,(National_Annual!V4-MIN(National_Annual!$F$4:$AD$4))/(MAX(National_Annual!$F$4:$AD$4)-MIN(National_Annual!$F$4:$AD$4))),""))</f>
        <v>0.54999999999999893</v>
      </c>
      <c r="W5" s="14">
        <f>IF(ISBLANK(National_Annual!W4),"",IFERROR(IF(MAX(National_Annual!$F$4:$AD$4)=MIN(National_Annual!$F$4:$AD$4),0,(National_Annual!W4-MIN(National_Annual!$F$4:$AD$4))/(MAX(National_Annual!$F$4:$AD$4)-MIN(National_Annual!$F$4:$AD$4))),""))</f>
        <v>0.64999999999999858</v>
      </c>
      <c r="X5" s="14">
        <f>IF(ISBLANK(National_Annual!X4),"",IFERROR(IF(MAX(National_Annual!$F$4:$AD$4)=MIN(National_Annual!$F$4:$AD$4),0,(National_Annual!X4-MIN(National_Annual!$F$4:$AD$4))/(MAX(National_Annual!$F$4:$AD$4)-MIN(National_Annual!$F$4:$AD$4))),""))</f>
        <v>0.42499999999999893</v>
      </c>
      <c r="Y5" s="14">
        <f>IF(ISBLANK(National_Annual!Y4),"",IFERROR(IF(MAX(National_Annual!$F$4:$AD$4)=MIN(National_Annual!$F$4:$AD$4),0,(National_Annual!Y4-MIN(National_Annual!$F$4:$AD$4))/(MAX(National_Annual!$F$4:$AD$4)-MIN(National_Annual!$F$4:$AD$4))),""))</f>
        <v>0.59999999999999964</v>
      </c>
      <c r="Z5" s="14">
        <f>IF(ISBLANK(National_Annual!Z4),"",IFERROR(IF(MAX(National_Annual!$F$4:$AD$4)=MIN(National_Annual!$F$4:$AD$4),0,(National_Annual!Z4-MIN(National_Annual!$F$4:$AD$4))/(MAX(National_Annual!$F$4:$AD$4)-MIN(National_Annual!$F$4:$AD$4))),""))</f>
        <v>0.72499999999999964</v>
      </c>
      <c r="AA5" s="14">
        <f>IF(ISBLANK(National_Annual!AA4),"",IFERROR(IF(MAX(National_Annual!$F$4:$AD$4)=MIN(National_Annual!$F$4:$AD$4),0,(National_Annual!AA4-MIN(National_Annual!$F$4:$AD$4))/(MAX(National_Annual!$F$4:$AD$4)-MIN(National_Annual!$F$4:$AD$4))),""))</f>
        <v>0.67499999999999893</v>
      </c>
      <c r="AB5" s="14">
        <f>IF(ISBLANK(National_Annual!AB4),"",IFERROR(IF(MAX(National_Annual!$F$4:$AD$4)=MIN(National_Annual!$F$4:$AD$4),0,(National_Annual!AB4-MIN(National_Annual!$F$4:$AD$4))/(MAX(National_Annual!$F$4:$AD$4)-MIN(National_Annual!$F$4:$AD$4))),""))</f>
        <v>0.92499999999999893</v>
      </c>
      <c r="AC5" s="14">
        <f>IF(ISBLANK(National_Annual!AC4),"",IFERROR(IF(MAX(National_Annual!$F$4:$AD$4)=MIN(National_Annual!$F$4:$AD$4),0,(National_Annual!AC4-MIN(National_Annual!$F$4:$AD$4))/(MAX(National_Annual!$F$4:$AD$4)-MIN(National_Annual!$F$4:$AD$4))),""))</f>
        <v>1</v>
      </c>
      <c r="AD5" s="14">
        <f>IF(ISBLANK(National_Annual!AD4),"",IFERROR(IF(MAX(National_Annual!$F$4:$AD$4)=MIN(National_Annual!$F$4:$AD$4),0,(National_Annual!AD4-MIN(National_Annual!$F$4:$AD$4))/(MAX(National_Annual!$F$4:$AD$4)-MIN(National_Annual!$F$4:$AD$4))),""))</f>
        <v>0.97499999999999964</v>
      </c>
    </row>
    <row r="6" spans="1:30" ht="15" customHeight="1">
      <c r="A6" s="7" t="s">
        <v>70</v>
      </c>
      <c r="B6" s="4" t="s">
        <v>71</v>
      </c>
      <c r="C6" s="4" t="s">
        <v>67</v>
      </c>
      <c r="D6" s="10" t="s">
        <v>68</v>
      </c>
      <c r="E6" s="10" t="s">
        <v>69</v>
      </c>
      <c r="F6" s="14">
        <f>IF(ISBLANK(National_Annual!F5),"",IFERROR(IF(MAX(National_Annual!$F$5:$AD$5)=MIN(National_Annual!$F$5:$AD$5),0,(National_Annual!F5-MIN(National_Annual!$F$5:$AD$5))/(MAX(National_Annual!$F$5:$AD$5)-MIN(National_Annual!$F$5:$AD$5))),""))</f>
        <v>0</v>
      </c>
      <c r="G6" s="14">
        <f>IF(ISBLANK(National_Annual!G5),"",IFERROR(IF(MAX(National_Annual!$F$5:$AD$5)=MIN(National_Annual!$F$5:$AD$5),0,(National_Annual!G5-MIN(National_Annual!$F$5:$AD$5))/(MAX(National_Annual!$F$5:$AD$5)-MIN(National_Annual!$F$5:$AD$5))),""))</f>
        <v>0.17499999999999999</v>
      </c>
      <c r="H6" s="14">
        <f>IF(ISBLANK(National_Annual!H5),"",IFERROR(IF(MAX(National_Annual!$F$5:$AD$5)=MIN(National_Annual!$F$5:$AD$5),0,(National_Annual!H5-MIN(National_Annual!$F$5:$AD$5))/(MAX(National_Annual!$F$5:$AD$5)-MIN(National_Annual!$F$5:$AD$5))),""))</f>
        <v>9.9999999999999978E-2</v>
      </c>
      <c r="I6" s="14">
        <f>IF(ISBLANK(National_Annual!I5),"",IFERROR(IF(MAX(National_Annual!$F$5:$AD$5)=MIN(National_Annual!$F$5:$AD$5),0,(National_Annual!I5-MIN(National_Annual!$F$5:$AD$5))/(MAX(National_Annual!$F$5:$AD$5)-MIN(National_Annual!$F$5:$AD$5))),""))</f>
        <v>0.42500000000000004</v>
      </c>
      <c r="J6" s="14">
        <f>IF(ISBLANK(National_Annual!J5),"",IFERROR(IF(MAX(National_Annual!$F$5:$AD$5)=MIN(National_Annual!$F$5:$AD$5),0,(National_Annual!J5-MIN(National_Annual!$F$5:$AD$5))/(MAX(National_Annual!$F$5:$AD$5)-MIN(National_Annual!$F$5:$AD$5))),""))</f>
        <v>4.9999999999999989E-2</v>
      </c>
      <c r="K6" s="14">
        <f>IF(ISBLANK(National_Annual!K5),"",IFERROR(IF(MAX(National_Annual!$F$5:$AD$5)=MIN(National_Annual!$F$5:$AD$5),0,(National_Annual!K5-MIN(National_Annual!$F$5:$AD$5))/(MAX(National_Annual!$F$5:$AD$5)-MIN(National_Annual!$F$5:$AD$5))),""))</f>
        <v>0.125</v>
      </c>
      <c r="L6" s="14">
        <f>IF(ISBLANK(National_Annual!L5),"",IFERROR(IF(MAX(National_Annual!$F$5:$AD$5)=MIN(National_Annual!$F$5:$AD$5),0,(National_Annual!L5-MIN(National_Annual!$F$5:$AD$5))/(MAX(National_Annual!$F$5:$AD$5)-MIN(National_Annual!$F$5:$AD$5))),""))</f>
        <v>0.22499999999999998</v>
      </c>
      <c r="M6" s="14">
        <f>IF(ISBLANK(National_Annual!M5),"",IFERROR(IF(MAX(National_Annual!$F$5:$AD$5)=MIN(National_Annual!$F$5:$AD$5),0,(National_Annual!M5-MIN(National_Annual!$F$5:$AD$5))/(MAX(National_Annual!$F$5:$AD$5)-MIN(National_Annual!$F$5:$AD$5))),""))</f>
        <v>0.32499999999999996</v>
      </c>
      <c r="N6" s="14">
        <f>IF(ISBLANK(National_Annual!N5),"",IFERROR(IF(MAX(National_Annual!$F$5:$AD$5)=MIN(National_Annual!$F$5:$AD$5),0,(National_Annual!N5-MIN(National_Annual!$F$5:$AD$5))/(MAX(National_Annual!$F$5:$AD$5)-MIN(National_Annual!$F$5:$AD$5))),""))</f>
        <v>0.15000000000000002</v>
      </c>
      <c r="O6" s="14">
        <f>IF(ISBLANK(National_Annual!O5),"",IFERROR(IF(MAX(National_Annual!$F$5:$AD$5)=MIN(National_Annual!$F$5:$AD$5),0,(National_Annual!O5-MIN(National_Annual!$F$5:$AD$5))/(MAX(National_Annual!$F$5:$AD$5)-MIN(National_Annual!$F$5:$AD$5))),""))</f>
        <v>0.375</v>
      </c>
      <c r="P6" s="14">
        <f>IF(ISBLANK(National_Annual!P5),"",IFERROR(IF(MAX(National_Annual!$F$5:$AD$5)=MIN(National_Annual!$F$5:$AD$5),0,(National_Annual!P5-MIN(National_Annual!$F$5:$AD$5))/(MAX(National_Annual!$F$5:$AD$5)-MIN(National_Annual!$F$5:$AD$5))),""))</f>
        <v>0.5</v>
      </c>
      <c r="Q6" s="14">
        <f>IF(ISBLANK(National_Annual!Q5),"",IFERROR(IF(MAX(National_Annual!$F$5:$AD$5)=MIN(National_Annual!$F$5:$AD$5),0,(National_Annual!Q5-MIN(National_Annual!$F$5:$AD$5))/(MAX(National_Annual!$F$5:$AD$5)-MIN(National_Annual!$F$5:$AD$5))),""))</f>
        <v>0.27500000000000002</v>
      </c>
      <c r="R6" s="14">
        <f>IF(ISBLANK(National_Annual!R5),"",IFERROR(IF(MAX(National_Annual!$F$5:$AD$5)=MIN(National_Annual!$F$5:$AD$5),0,(National_Annual!R5-MIN(National_Annual!$F$5:$AD$5))/(MAX(National_Annual!$F$5:$AD$5)-MIN(National_Annual!$F$5:$AD$5))),""))</f>
        <v>0.35</v>
      </c>
      <c r="S6" s="14">
        <f>IF(ISBLANK(National_Annual!S5),"",IFERROR(IF(MAX(National_Annual!$F$5:$AD$5)=MIN(National_Annual!$F$5:$AD$5),0,(National_Annual!S5-MIN(National_Annual!$F$5:$AD$5))/(MAX(National_Annual!$F$5:$AD$5)-MIN(National_Annual!$F$5:$AD$5))),""))</f>
        <v>0.22499999999999998</v>
      </c>
      <c r="T6" s="14">
        <f>IF(ISBLANK(National_Annual!T5),"",IFERROR(IF(MAX(National_Annual!$F$5:$AD$5)=MIN(National_Annual!$F$5:$AD$5),0,(National_Annual!T5-MIN(National_Annual!$F$5:$AD$5))/(MAX(National_Annual!$F$5:$AD$5)-MIN(National_Annual!$F$5:$AD$5))),""))</f>
        <v>0.4</v>
      </c>
      <c r="U6" s="14">
        <f>IF(ISBLANK(National_Annual!U5),"",IFERROR(IF(MAX(National_Annual!$F$5:$AD$5)=MIN(National_Annual!$F$5:$AD$5),0,(National_Annual!U5-MIN(National_Annual!$F$5:$AD$5))/(MAX(National_Annual!$F$5:$AD$5)-MIN(National_Annual!$F$5:$AD$5))),""))</f>
        <v>0.47499999999999998</v>
      </c>
      <c r="V6" s="14">
        <f>IF(ISBLANK(National_Annual!V5),"",IFERROR(IF(MAX(National_Annual!$F$5:$AD$5)=MIN(National_Annual!$F$5:$AD$5),0,(National_Annual!V5-MIN(National_Annual!$F$5:$AD$5))/(MAX(National_Annual!$F$5:$AD$5)-MIN(National_Annual!$F$5:$AD$5))),""))</f>
        <v>0.55000000000000004</v>
      </c>
      <c r="W6" s="14">
        <f>IF(ISBLANK(National_Annual!W5),"",IFERROR(IF(MAX(National_Annual!$F$5:$AD$5)=MIN(National_Annual!$F$5:$AD$5),0,(National_Annual!W5-MIN(National_Annual!$F$5:$AD$5))/(MAX(National_Annual!$F$5:$AD$5)-MIN(National_Annual!$F$5:$AD$5))),""))</f>
        <v>0.65</v>
      </c>
      <c r="X6" s="14">
        <f>IF(ISBLANK(National_Annual!X5),"",IFERROR(IF(MAX(National_Annual!$F$5:$AD$5)=MIN(National_Annual!$F$5:$AD$5),0,(National_Annual!X5-MIN(National_Annual!$F$5:$AD$5))/(MAX(National_Annual!$F$5:$AD$5)-MIN(National_Annual!$F$5:$AD$5))),""))</f>
        <v>0.42500000000000004</v>
      </c>
      <c r="Y6" s="14">
        <f>IF(ISBLANK(National_Annual!Y5),"",IFERROR(IF(MAX(National_Annual!$F$5:$AD$5)=MIN(National_Annual!$F$5:$AD$5),0,(National_Annual!Y5-MIN(National_Annual!$F$5:$AD$5))/(MAX(National_Annual!$F$5:$AD$5)-MIN(National_Annual!$F$5:$AD$5))),""))</f>
        <v>0.6</v>
      </c>
      <c r="Z6" s="14">
        <f>IF(ISBLANK(National_Annual!Z5),"",IFERROR(IF(MAX(National_Annual!$F$5:$AD$5)=MIN(National_Annual!$F$5:$AD$5),0,(National_Annual!Z5-MIN(National_Annual!$F$5:$AD$5))/(MAX(National_Annual!$F$5:$AD$5)-MIN(National_Annual!$F$5:$AD$5))),""))</f>
        <v>0.72499999999999998</v>
      </c>
      <c r="AA6" s="14">
        <f>IF(ISBLANK(National_Annual!AA5),"",IFERROR(IF(MAX(National_Annual!$F$5:$AD$5)=MIN(National_Annual!$F$5:$AD$5),0,(National_Annual!AA5-MIN(National_Annual!$F$5:$AD$5))/(MAX(National_Annual!$F$5:$AD$5)-MIN(National_Annual!$F$5:$AD$5))),""))</f>
        <v>0.67500000000000004</v>
      </c>
      <c r="AB6" s="14">
        <f>IF(ISBLANK(National_Annual!AB5),"",IFERROR(IF(MAX(National_Annual!$F$5:$AD$5)=MIN(National_Annual!$F$5:$AD$5),0,(National_Annual!AB5-MIN(National_Annual!$F$5:$AD$5))/(MAX(National_Annual!$F$5:$AD$5)-MIN(National_Annual!$F$5:$AD$5))),""))</f>
        <v>0.92500000000000004</v>
      </c>
      <c r="AC6" s="14">
        <f>IF(ISBLANK(National_Annual!AC5),"",IFERROR(IF(MAX(National_Annual!$F$5:$AD$5)=MIN(National_Annual!$F$5:$AD$5),0,(National_Annual!AC5-MIN(National_Annual!$F$5:$AD$5))/(MAX(National_Annual!$F$5:$AD$5)-MIN(National_Annual!$F$5:$AD$5))),""))</f>
        <v>1</v>
      </c>
      <c r="AD6" s="14">
        <f>IF(ISBLANK(National_Annual!AD5),"",IFERROR(IF(MAX(National_Annual!$F$5:$AD$5)=MIN(National_Annual!$F$5:$AD$5),0,(National_Annual!AD5-MIN(National_Annual!$F$5:$AD$5))/(MAX(National_Annual!$F$5:$AD$5)-MIN(National_Annual!$F$5:$AD$5))),""))</f>
        <v>0.97500000000000009</v>
      </c>
    </row>
    <row r="7" spans="1:30" ht="15" customHeight="1">
      <c r="A7" s="7" t="s">
        <v>72</v>
      </c>
      <c r="B7" s="4" t="s">
        <v>73</v>
      </c>
      <c r="C7" s="4" t="s">
        <v>74</v>
      </c>
      <c r="D7" s="10" t="s">
        <v>75</v>
      </c>
      <c r="E7" s="10" t="s">
        <v>69</v>
      </c>
      <c r="F7" s="14">
        <f>IF(ISBLANK(National_Annual!F6),"",IFERROR(IF(MAX(National_Annual!$F$6:$AD$6)=MIN(National_Annual!$F$6:$AD$6),0,(MAX(National_Annual!$F$6:$AD$6)-National_Annual!F6)/(MAX(National_Annual!$F$6:$AD$6)-MIN(National_Annual!$F$6:$AD$6))),""))</f>
        <v>0.55555555555555558</v>
      </c>
      <c r="G7" s="14">
        <f>IF(ISBLANK(National_Annual!G6),"",IFERROR(IF(MAX(National_Annual!$F$6:$AD$6)=MIN(National_Annual!$F$6:$AD$6),0,(MAX(National_Annual!$F$6:$AD$6)-National_Annual!G6)/(MAX(National_Annual!$F$6:$AD$6)-MIN(National_Annual!$F$6:$AD$6))),""))</f>
        <v>0.47222222222222221</v>
      </c>
      <c r="H7" s="14">
        <f>IF(ISBLANK(National_Annual!H6),"",IFERROR(IF(MAX(National_Annual!$F$6:$AD$6)=MIN(National_Annual!$F$6:$AD$6),0,(MAX(National_Annual!$F$6:$AD$6)-National_Annual!H6)/(MAX(National_Annual!$F$6:$AD$6)-MIN(National_Annual!$F$6:$AD$6))),""))</f>
        <v>0.30555555555555558</v>
      </c>
      <c r="I7" s="14">
        <f>IF(ISBLANK(National_Annual!I6),"",IFERROR(IF(MAX(National_Annual!$F$6:$AD$6)=MIN(National_Annual!$F$6:$AD$6),0,(MAX(National_Annual!$F$6:$AD$6)-National_Annual!I6)/(MAX(National_Annual!$F$6:$AD$6)-MIN(National_Annual!$F$6:$AD$6))),""))</f>
        <v>0.22222222222222221</v>
      </c>
      <c r="J7" s="14">
        <f>IF(ISBLANK(National_Annual!J6),"",IFERROR(IF(MAX(National_Annual!$F$6:$AD$6)=MIN(National_Annual!$F$6:$AD$6),0,(MAX(National_Annual!$F$6:$AD$6)-National_Annual!J6)/(MAX(National_Annual!$F$6:$AD$6)-MIN(National_Annual!$F$6:$AD$6))),""))</f>
        <v>0.3888888888888889</v>
      </c>
      <c r="K7" s="14">
        <f>IF(ISBLANK(National_Annual!K6),"",IFERROR(IF(MAX(National_Annual!$F$6:$AD$6)=MIN(National_Annual!$F$6:$AD$6),0,(MAX(National_Annual!$F$6:$AD$6)-National_Annual!K6)/(MAX(National_Annual!$F$6:$AD$6)-MIN(National_Annual!$F$6:$AD$6))),""))</f>
        <v>0.63888888888888884</v>
      </c>
      <c r="L7" s="14">
        <f>IF(ISBLANK(National_Annual!L6),"",IFERROR(IF(MAX(National_Annual!$F$6:$AD$6)=MIN(National_Annual!$F$6:$AD$6),0,(MAX(National_Annual!$F$6:$AD$6)-National_Annual!L6)/(MAX(National_Annual!$F$6:$AD$6)-MIN(National_Annual!$F$6:$AD$6))),""))</f>
        <v>0.3611111111111111</v>
      </c>
      <c r="M7" s="14">
        <f>IF(ISBLANK(National_Annual!M6),"",IFERROR(IF(MAX(National_Annual!$F$6:$AD$6)=MIN(National_Annual!$F$6:$AD$6),0,(MAX(National_Annual!$F$6:$AD$6)-National_Annual!M6)/(MAX(National_Annual!$F$6:$AD$6)-MIN(National_Annual!$F$6:$AD$6))),""))</f>
        <v>0.52777777777777779</v>
      </c>
      <c r="N7" s="14">
        <f>IF(ISBLANK(National_Annual!N6),"",IFERROR(IF(MAX(National_Annual!$F$6:$AD$6)=MIN(National_Annual!$F$6:$AD$6),0,(MAX(National_Annual!$F$6:$AD$6)-National_Annual!N6)/(MAX(National_Annual!$F$6:$AD$6)-MIN(National_Annual!$F$6:$AD$6))),""))</f>
        <v>0.41666666666666669</v>
      </c>
      <c r="O7" s="14">
        <f>IF(ISBLANK(National_Annual!O6),"",IFERROR(IF(MAX(National_Annual!$F$6:$AD$6)=MIN(National_Annual!$F$6:$AD$6),0,(MAX(National_Annual!$F$6:$AD$6)-National_Annual!O6)/(MAX(National_Annual!$F$6:$AD$6)-MIN(National_Annual!$F$6:$AD$6))),""))</f>
        <v>8.3333333333333329E-2</v>
      </c>
      <c r="P7" s="14">
        <f>IF(ISBLANK(National_Annual!P6),"",IFERROR(IF(MAX(National_Annual!$F$6:$AD$6)=MIN(National_Annual!$F$6:$AD$6),0,(MAX(National_Annual!$F$6:$AD$6)-National_Annual!P6)/(MAX(National_Annual!$F$6:$AD$6)-MIN(National_Annual!$F$6:$AD$6))),""))</f>
        <v>0</v>
      </c>
      <c r="Q7" s="14">
        <f>IF(ISBLANK(National_Annual!Q6),"",IFERROR(IF(MAX(National_Annual!$F$6:$AD$6)=MIN(National_Annual!$F$6:$AD$6),0,(MAX(National_Annual!$F$6:$AD$6)-National_Annual!Q6)/(MAX(National_Annual!$F$6:$AD$6)-MIN(National_Annual!$F$6:$AD$6))),""))</f>
        <v>0.61111111111111116</v>
      </c>
      <c r="R7" s="14">
        <f>IF(ISBLANK(National_Annual!R6),"",IFERROR(IF(MAX(National_Annual!$F$6:$AD$6)=MIN(National_Annual!$F$6:$AD$6),0,(MAX(National_Annual!$F$6:$AD$6)-National_Annual!R6)/(MAX(National_Annual!$F$6:$AD$6)-MIN(National_Annual!$F$6:$AD$6))),""))</f>
        <v>0.52777777777777779</v>
      </c>
      <c r="S7" s="14">
        <f>IF(ISBLANK(National_Annual!S6),"",IFERROR(IF(MAX(National_Annual!$F$6:$AD$6)=MIN(National_Annual!$F$6:$AD$6),0,(MAX(National_Annual!$F$6:$AD$6)-National_Annual!S6)/(MAX(National_Annual!$F$6:$AD$6)-MIN(National_Annual!$F$6:$AD$6))),""))</f>
        <v>0.30555555555555558</v>
      </c>
      <c r="T7" s="14">
        <f>IF(ISBLANK(National_Annual!T6),"",IFERROR(IF(MAX(National_Annual!$F$6:$AD$6)=MIN(National_Annual!$F$6:$AD$6),0,(MAX(National_Annual!$F$6:$AD$6)-National_Annual!T6)/(MAX(National_Annual!$F$6:$AD$6)-MIN(National_Annual!$F$6:$AD$6))),""))</f>
        <v>0.55555555555555558</v>
      </c>
      <c r="U7" s="14">
        <f>IF(ISBLANK(National_Annual!U6),"",IFERROR(IF(MAX(National_Annual!$F$6:$AD$6)=MIN(National_Annual!$F$6:$AD$6),0,(MAX(National_Annual!$F$6:$AD$6)-National_Annual!U6)/(MAX(National_Annual!$F$6:$AD$6)-MIN(National_Annual!$F$6:$AD$6))),""))</f>
        <v>0.3611111111111111</v>
      </c>
      <c r="V7" s="14">
        <f>IF(ISBLANK(National_Annual!V6),"",IFERROR(IF(MAX(National_Annual!$F$6:$AD$6)=MIN(National_Annual!$F$6:$AD$6),0,(MAX(National_Annual!$F$6:$AD$6)-National_Annual!V6)/(MAX(National_Annual!$F$6:$AD$6)-MIN(National_Annual!$F$6:$AD$6))),""))</f>
        <v>0.72222222222222221</v>
      </c>
      <c r="W7" s="14">
        <f>IF(ISBLANK(National_Annual!W6),"",IFERROR(IF(MAX(National_Annual!$F$6:$AD$6)=MIN(National_Annual!$F$6:$AD$6),0,(MAX(National_Annual!$F$6:$AD$6)-National_Annual!W6)/(MAX(National_Annual!$F$6:$AD$6)-MIN(National_Annual!$F$6:$AD$6))),""))</f>
        <v>0.86111111111111116</v>
      </c>
      <c r="X7" s="14">
        <f>IF(ISBLANK(National_Annual!X6),"",IFERROR(IF(MAX(National_Annual!$F$6:$AD$6)=MIN(National_Annual!$F$6:$AD$6),0,(MAX(National_Annual!$F$6:$AD$6)-National_Annual!X6)/(MAX(National_Annual!$F$6:$AD$6)-MIN(National_Annual!$F$6:$AD$6))),""))</f>
        <v>0.22222222222222221</v>
      </c>
      <c r="Y7" s="14">
        <f>IF(ISBLANK(National_Annual!Y6),"",IFERROR(IF(MAX(National_Annual!$F$6:$AD$6)=MIN(National_Annual!$F$6:$AD$6),0,(MAX(National_Annual!$F$6:$AD$6)-National_Annual!Y6)/(MAX(National_Annual!$F$6:$AD$6)-MIN(National_Annual!$F$6:$AD$6))),""))</f>
        <v>0.63888888888888884</v>
      </c>
      <c r="Z7" s="14">
        <f>IF(ISBLANK(National_Annual!Z6),"",IFERROR(IF(MAX(National_Annual!$F$6:$AD$6)=MIN(National_Annual!$F$6:$AD$6),0,(MAX(National_Annual!$F$6:$AD$6)-National_Annual!Z6)/(MAX(National_Annual!$F$6:$AD$6)-MIN(National_Annual!$F$6:$AD$6))),""))</f>
        <v>0.86111111111111116</v>
      </c>
      <c r="AA7" s="14">
        <f>IF(ISBLANK(National_Annual!AA6),"",IFERROR(IF(MAX(National_Annual!$F$6:$AD$6)=MIN(National_Annual!$F$6:$AD$6),0,(MAX(National_Annual!$F$6:$AD$6)-National_Annual!AA6)/(MAX(National_Annual!$F$6:$AD$6)-MIN(National_Annual!$F$6:$AD$6))),""))</f>
        <v>0.88888888888888884</v>
      </c>
      <c r="AB7" s="14">
        <f>IF(ISBLANK(National_Annual!AB6),"",IFERROR(IF(MAX(National_Annual!$F$6:$AD$6)=MIN(National_Annual!$F$6:$AD$6),0,(MAX(National_Annual!$F$6:$AD$6)-National_Annual!AB6)/(MAX(National_Annual!$F$6:$AD$6)-MIN(National_Annual!$F$6:$AD$6))),""))</f>
        <v>1</v>
      </c>
      <c r="AC7" s="14">
        <f>IF(ISBLANK(National_Annual!AC6),"",IFERROR(IF(MAX(National_Annual!$F$6:$AD$6)=MIN(National_Annual!$F$6:$AD$6),0,(MAX(National_Annual!$F$6:$AD$6)-National_Annual!AC6)/(MAX(National_Annual!$F$6:$AD$6)-MIN(National_Annual!$F$6:$AD$6))),""))</f>
        <v>0.77777777777777779</v>
      </c>
      <c r="AD7" s="14">
        <f>IF(ISBLANK(National_Annual!AD6),"",IFERROR(IF(MAX(National_Annual!$F$6:$AD$6)=MIN(National_Annual!$F$6:$AD$6),0,(MAX(National_Annual!$F$6:$AD$6)-National_Annual!AD6)/(MAX(National_Annual!$F$6:$AD$6)-MIN(National_Annual!$F$6:$AD$6))),""))</f>
        <v>0.91666666666666663</v>
      </c>
    </row>
    <row r="8" spans="1:30" ht="15" customHeight="1">
      <c r="A8" s="7" t="s">
        <v>76</v>
      </c>
      <c r="B8" s="4" t="s">
        <v>77</v>
      </c>
      <c r="C8" s="4" t="s">
        <v>78</v>
      </c>
      <c r="D8" s="10" t="s">
        <v>75</v>
      </c>
      <c r="E8" s="10" t="s">
        <v>69</v>
      </c>
      <c r="F8" s="14">
        <f>IF(ISBLANK(National_Annual!F7),"",IFERROR(IF(MAX(National_Annual!$F$7:$AD$7)=MIN(National_Annual!$F$7:$AD$7),0,(MAX(National_Annual!$F$7:$AD$7)-National_Annual!F7)/(MAX(National_Annual!$F$7:$AD$7)-MIN(National_Annual!$F$7:$AD$7))),""))</f>
        <v>0.55614973262032086</v>
      </c>
      <c r="G8" s="14">
        <f>IF(ISBLANK(National_Annual!G7),"",IFERROR(IF(MAX(National_Annual!$F$7:$AD$7)=MIN(National_Annual!$F$7:$AD$7),0,(MAX(National_Annual!$F$7:$AD$7)-National_Annual!G7)/(MAX(National_Annual!$F$7:$AD$7)-MIN(National_Annual!$F$7:$AD$7))),""))</f>
        <v>0.4732620320855615</v>
      </c>
      <c r="H8" s="14">
        <f>IF(ISBLANK(National_Annual!H7),"",IFERROR(IF(MAX(National_Annual!$F$7:$AD$7)=MIN(National_Annual!$F$7:$AD$7),0,(MAX(National_Annual!$F$7:$AD$7)-National_Annual!H7)/(MAX(National_Annual!$F$7:$AD$7)-MIN(National_Annual!$F$7:$AD$7))),""))</f>
        <v>0.30481283422459893</v>
      </c>
      <c r="I8" s="14">
        <f>IF(ISBLANK(National_Annual!I7),"",IFERROR(IF(MAX(National_Annual!$F$7:$AD$7)=MIN(National_Annual!$F$7:$AD$7),0,(MAX(National_Annual!$F$7:$AD$7)-National_Annual!I7)/(MAX(National_Annual!$F$7:$AD$7)-MIN(National_Annual!$F$7:$AD$7))),""))</f>
        <v>0.22192513368983957</v>
      </c>
      <c r="J8" s="14">
        <f>IF(ISBLANK(National_Annual!J7),"",IFERROR(IF(MAX(National_Annual!$F$7:$AD$7)=MIN(National_Annual!$F$7:$AD$7),0,(MAX(National_Annual!$F$7:$AD$7)-National_Annual!J7)/(MAX(National_Annual!$F$7:$AD$7)-MIN(National_Annual!$F$7:$AD$7))),""))</f>
        <v>0.39037433155080209</v>
      </c>
      <c r="K8" s="14">
        <f>IF(ISBLANK(National_Annual!K7),"",IFERROR(IF(MAX(National_Annual!$F$7:$AD$7)=MIN(National_Annual!$F$7:$AD$7),0,(MAX(National_Annual!$F$7:$AD$7)-National_Annual!K7)/(MAX(National_Annual!$F$7:$AD$7)-MIN(National_Annual!$F$7:$AD$7))),""))</f>
        <v>0.63903743315508021</v>
      </c>
      <c r="L8" s="14">
        <f>IF(ISBLANK(National_Annual!L7),"",IFERROR(IF(MAX(National_Annual!$F$7:$AD$7)=MIN(National_Annual!$F$7:$AD$7),0,(MAX(National_Annual!$F$7:$AD$7)-National_Annual!L7)/(MAX(National_Annual!$F$7:$AD$7)-MIN(National_Annual!$F$7:$AD$7))),""))</f>
        <v>0.36096256684491979</v>
      </c>
      <c r="M8" s="14">
        <f>IF(ISBLANK(National_Annual!M7),"",IFERROR(IF(MAX(National_Annual!$F$7:$AD$7)=MIN(National_Annual!$F$7:$AD$7),0,(MAX(National_Annual!$F$7:$AD$7)-National_Annual!M7)/(MAX(National_Annual!$F$7:$AD$7)-MIN(National_Annual!$F$7:$AD$7))),""))</f>
        <v>0.52941176470588236</v>
      </c>
      <c r="N8" s="14">
        <f>IF(ISBLANK(National_Annual!N7),"",IFERROR(IF(MAX(National_Annual!$F$7:$AD$7)=MIN(National_Annual!$F$7:$AD$7),0,(MAX(National_Annual!$F$7:$AD$7)-National_Annual!N7)/(MAX(National_Annual!$F$7:$AD$7)-MIN(National_Annual!$F$7:$AD$7))),""))</f>
        <v>0.41711229946524064</v>
      </c>
      <c r="O8" s="14">
        <f>IF(ISBLANK(National_Annual!O7),"",IFERROR(IF(MAX(National_Annual!$F$7:$AD$7)=MIN(National_Annual!$F$7:$AD$7),0,(MAX(National_Annual!$F$7:$AD$7)-National_Annual!O7)/(MAX(National_Annual!$F$7:$AD$7)-MIN(National_Annual!$F$7:$AD$7))),""))</f>
        <v>8.288770053475937E-2</v>
      </c>
      <c r="P8" s="14">
        <f>IF(ISBLANK(National_Annual!P7),"",IFERROR(IF(MAX(National_Annual!$F$7:$AD$7)=MIN(National_Annual!$F$7:$AD$7),0,(MAX(National_Annual!$F$7:$AD$7)-National_Annual!P7)/(MAX(National_Annual!$F$7:$AD$7)-MIN(National_Annual!$F$7:$AD$7))),""))</f>
        <v>0</v>
      </c>
      <c r="Q8" s="14">
        <f>IF(ISBLANK(National_Annual!Q7),"",IFERROR(IF(MAX(National_Annual!$F$7:$AD$7)=MIN(National_Annual!$F$7:$AD$7),0,(MAX(National_Annual!$F$7:$AD$7)-National_Annual!Q7)/(MAX(National_Annual!$F$7:$AD$7)-MIN(National_Annual!$F$7:$AD$7))),""))</f>
        <v>0.61229946524064172</v>
      </c>
      <c r="R8" s="14">
        <f>IF(ISBLANK(National_Annual!R7),"",IFERROR(IF(MAX(National_Annual!$F$7:$AD$7)=MIN(National_Annual!$F$7:$AD$7),0,(MAX(National_Annual!$F$7:$AD$7)-National_Annual!R7)/(MAX(National_Annual!$F$7:$AD$7)-MIN(National_Annual!$F$7:$AD$7))),""))</f>
        <v>0.52941176470588236</v>
      </c>
      <c r="S8" s="14">
        <f>IF(ISBLANK(National_Annual!S7),"",IFERROR(IF(MAX(National_Annual!$F$7:$AD$7)=MIN(National_Annual!$F$7:$AD$7),0,(MAX(National_Annual!$F$7:$AD$7)-National_Annual!S7)/(MAX(National_Annual!$F$7:$AD$7)-MIN(National_Annual!$F$7:$AD$7))),""))</f>
        <v>0.30481283422459893</v>
      </c>
      <c r="T8" s="14">
        <f>IF(ISBLANK(National_Annual!T7),"",IFERROR(IF(MAX(National_Annual!$F$7:$AD$7)=MIN(National_Annual!$F$7:$AD$7),0,(MAX(National_Annual!$F$7:$AD$7)-National_Annual!T7)/(MAX(National_Annual!$F$7:$AD$7)-MIN(National_Annual!$F$7:$AD$7))),""))</f>
        <v>0.55614973262032086</v>
      </c>
      <c r="U8" s="14">
        <f>IF(ISBLANK(National_Annual!U7),"",IFERROR(IF(MAX(National_Annual!$F$7:$AD$7)=MIN(National_Annual!$F$7:$AD$7),0,(MAX(National_Annual!$F$7:$AD$7)-National_Annual!U7)/(MAX(National_Annual!$F$7:$AD$7)-MIN(National_Annual!$F$7:$AD$7))),""))</f>
        <v>0.36096256684491979</v>
      </c>
      <c r="V8" s="14">
        <f>IF(ISBLANK(National_Annual!V7),"",IFERROR(IF(MAX(National_Annual!$F$7:$AD$7)=MIN(National_Annual!$F$7:$AD$7),0,(MAX(National_Annual!$F$7:$AD$7)-National_Annual!V7)/(MAX(National_Annual!$F$7:$AD$7)-MIN(National_Annual!$F$7:$AD$7))),""))</f>
        <v>0.72192513368983957</v>
      </c>
      <c r="W8" s="14">
        <f>IF(ISBLANK(National_Annual!W7),"",IFERROR(IF(MAX(National_Annual!$F$7:$AD$7)=MIN(National_Annual!$F$7:$AD$7),0,(MAX(National_Annual!$F$7:$AD$7)-National_Annual!W7)/(MAX(National_Annual!$F$7:$AD$7)-MIN(National_Annual!$F$7:$AD$7))),""))</f>
        <v>0.86096256684491967</v>
      </c>
      <c r="X8" s="14">
        <f>IF(ISBLANK(National_Annual!X7),"",IFERROR(IF(MAX(National_Annual!$F$7:$AD$7)=MIN(National_Annual!$F$7:$AD$7),0,(MAX(National_Annual!$F$7:$AD$7)-National_Annual!X7)/(MAX(National_Annual!$F$7:$AD$7)-MIN(National_Annual!$F$7:$AD$7))),""))</f>
        <v>0.22192513368983957</v>
      </c>
      <c r="Y8" s="14">
        <f>IF(ISBLANK(National_Annual!Y7),"",IFERROR(IF(MAX(National_Annual!$F$7:$AD$7)=MIN(National_Annual!$F$7:$AD$7),0,(MAX(National_Annual!$F$7:$AD$7)-National_Annual!Y7)/(MAX(National_Annual!$F$7:$AD$7)-MIN(National_Annual!$F$7:$AD$7))),""))</f>
        <v>0.63903743315508021</v>
      </c>
      <c r="Z8" s="14">
        <f>IF(ISBLANK(National_Annual!Z7),"",IFERROR(IF(MAX(National_Annual!$F$7:$AD$7)=MIN(National_Annual!$F$7:$AD$7),0,(MAX(National_Annual!$F$7:$AD$7)-National_Annual!Z7)/(MAX(National_Annual!$F$7:$AD$7)-MIN(National_Annual!$F$7:$AD$7))),""))</f>
        <v>0.86096256684491967</v>
      </c>
      <c r="AA8" s="14">
        <f>IF(ISBLANK(National_Annual!AA7),"",IFERROR(IF(MAX(National_Annual!$F$7:$AD$7)=MIN(National_Annual!$F$7:$AD$7),0,(MAX(National_Annual!$F$7:$AD$7)-National_Annual!AA7)/(MAX(National_Annual!$F$7:$AD$7)-MIN(National_Annual!$F$7:$AD$7))),""))</f>
        <v>0.89037433155080214</v>
      </c>
      <c r="AB8" s="14">
        <f>IF(ISBLANK(National_Annual!AB7),"",IFERROR(IF(MAX(National_Annual!$F$7:$AD$7)=MIN(National_Annual!$F$7:$AD$7),0,(MAX(National_Annual!$F$7:$AD$7)-National_Annual!AB7)/(MAX(National_Annual!$F$7:$AD$7)-MIN(National_Annual!$F$7:$AD$7))),""))</f>
        <v>1</v>
      </c>
      <c r="AC8" s="14">
        <f>IF(ISBLANK(National_Annual!AC7),"",IFERROR(IF(MAX(National_Annual!$F$7:$AD$7)=MIN(National_Annual!$F$7:$AD$7),0,(MAX(National_Annual!$F$7:$AD$7)-National_Annual!AC7)/(MAX(National_Annual!$F$7:$AD$7)-MIN(National_Annual!$F$7:$AD$7))),""))</f>
        <v>0.77807486631016043</v>
      </c>
      <c r="AD8" s="14">
        <f>IF(ISBLANK(National_Annual!AD7),"",IFERROR(IF(MAX(National_Annual!$F$7:$AD$7)=MIN(National_Annual!$F$7:$AD$7),0,(MAX(National_Annual!$F$7:$AD$7)-National_Annual!AD7)/(MAX(National_Annual!$F$7:$AD$7)-MIN(National_Annual!$F$7:$AD$7))),""))</f>
        <v>0.91711229946524053</v>
      </c>
    </row>
    <row r="9" spans="1:30" ht="15" customHeight="1">
      <c r="A9" s="7" t="s">
        <v>79</v>
      </c>
      <c r="B9" s="4" t="s">
        <v>80</v>
      </c>
      <c r="C9" s="4" t="s">
        <v>81</v>
      </c>
      <c r="D9" s="10" t="s">
        <v>68</v>
      </c>
      <c r="E9" s="10" t="s">
        <v>69</v>
      </c>
      <c r="F9" s="14">
        <f>IF(ISBLANK(National_Annual!F8),"",IFERROR(IF(MAX(National_Annual!$F$8:$AD$8)=MIN(National_Annual!$F$8:$AD$8),0,(National_Annual!F8-MIN(National_Annual!$F$8:$AD$8))/(MAX(National_Annual!$F$8:$AD$8)-MIN(National_Annual!$F$8:$AD$8))),""))</f>
        <v>0</v>
      </c>
      <c r="G9" s="14">
        <f>IF(ISBLANK(National_Annual!G8),"",IFERROR(IF(MAX(National_Annual!$F$8:$AD$8)=MIN(National_Annual!$F$8:$AD$8),0,(National_Annual!G8-MIN(National_Annual!$F$8:$AD$8))/(MAX(National_Annual!$F$8:$AD$8)-MIN(National_Annual!$F$8:$AD$8))),""))</f>
        <v>8.5106382978723402E-2</v>
      </c>
      <c r="H9" s="14">
        <f>IF(ISBLANK(National_Annual!H8),"",IFERROR(IF(MAX(National_Annual!$F$8:$AD$8)=MIN(National_Annual!$F$8:$AD$8),0,(National_Annual!H8-MIN(National_Annual!$F$8:$AD$8))/(MAX(National_Annual!$F$8:$AD$8)-MIN(National_Annual!$F$8:$AD$8))),""))</f>
        <v>4.2553191489361701E-2</v>
      </c>
      <c r="I9" s="14">
        <f>IF(ISBLANK(National_Annual!I8),"",IFERROR(IF(MAX(National_Annual!$F$8:$AD$8)=MIN(National_Annual!$F$8:$AD$8),0,(National_Annual!I8-MIN(National_Annual!$F$8:$AD$8))/(MAX(National_Annual!$F$8:$AD$8)-MIN(National_Annual!$F$8:$AD$8))),""))</f>
        <v>0.42553191489361702</v>
      </c>
      <c r="J9" s="14">
        <f>IF(ISBLANK(National_Annual!J8),"",IFERROR(IF(MAX(National_Annual!$F$8:$AD$8)=MIN(National_Annual!$F$8:$AD$8),0,(National_Annual!J8-MIN(National_Annual!$F$8:$AD$8))/(MAX(National_Annual!$F$8:$AD$8)-MIN(National_Annual!$F$8:$AD$8))),""))</f>
        <v>6.3829787234042548E-2</v>
      </c>
      <c r="K9" s="14">
        <f>IF(ISBLANK(National_Annual!K8),"",IFERROR(IF(MAX(National_Annual!$F$8:$AD$8)=MIN(National_Annual!$F$8:$AD$8),0,(National_Annual!K8-MIN(National_Annual!$F$8:$AD$8))/(MAX(National_Annual!$F$8:$AD$8)-MIN(National_Annual!$F$8:$AD$8))),""))</f>
        <v>0.14893617021276595</v>
      </c>
      <c r="L9" s="14">
        <f>IF(ISBLANK(National_Annual!L8),"",IFERROR(IF(MAX(National_Annual!$F$8:$AD$8)=MIN(National_Annual!$F$8:$AD$8),0,(National_Annual!L8-MIN(National_Annual!$F$8:$AD$8))/(MAX(National_Annual!$F$8:$AD$8)-MIN(National_Annual!$F$8:$AD$8))),""))</f>
        <v>0.19148936170212766</v>
      </c>
      <c r="M9" s="14">
        <f>IF(ISBLANK(National_Annual!M8),"",IFERROR(IF(MAX(National_Annual!$F$8:$AD$8)=MIN(National_Annual!$F$8:$AD$8),0,(National_Annual!M8-MIN(National_Annual!$F$8:$AD$8))/(MAX(National_Annual!$F$8:$AD$8)-MIN(National_Annual!$F$8:$AD$8))),""))</f>
        <v>0.25531914893617019</v>
      </c>
      <c r="N9" s="14">
        <f>IF(ISBLANK(National_Annual!N8),"",IFERROR(IF(MAX(National_Annual!$F$8:$AD$8)=MIN(National_Annual!$F$8:$AD$8),0,(National_Annual!N8-MIN(National_Annual!$F$8:$AD$8))/(MAX(National_Annual!$F$8:$AD$8)-MIN(National_Annual!$F$8:$AD$8))),""))</f>
        <v>0.1276595744680851</v>
      </c>
      <c r="O9" s="14">
        <f>IF(ISBLANK(National_Annual!O8),"",IFERROR(IF(MAX(National_Annual!$F$8:$AD$8)=MIN(National_Annual!$F$8:$AD$8),0,(National_Annual!O8-MIN(National_Annual!$F$8:$AD$8))/(MAX(National_Annual!$F$8:$AD$8)-MIN(National_Annual!$F$8:$AD$8))),""))</f>
        <v>0.2978723404255319</v>
      </c>
      <c r="P9" s="14">
        <f>IF(ISBLANK(National_Annual!P8),"",IFERROR(IF(MAX(National_Annual!$F$8:$AD$8)=MIN(National_Annual!$F$8:$AD$8),0,(National_Annual!P8-MIN(National_Annual!$F$8:$AD$8))/(MAX(National_Annual!$F$8:$AD$8)-MIN(National_Annual!$F$8:$AD$8))),""))</f>
        <v>0.36170212765957449</v>
      </c>
      <c r="Q9" s="14">
        <f>IF(ISBLANK(National_Annual!Q8),"",IFERROR(IF(MAX(National_Annual!$F$8:$AD$8)=MIN(National_Annual!$F$8:$AD$8),0,(National_Annual!Q8-MIN(National_Annual!$F$8:$AD$8))/(MAX(National_Annual!$F$8:$AD$8)-MIN(National_Annual!$F$8:$AD$8))),""))</f>
        <v>0.21276595744680851</v>
      </c>
      <c r="R9" s="14">
        <f>IF(ISBLANK(National_Annual!R8),"",IFERROR(IF(MAX(National_Annual!$F$8:$AD$8)=MIN(National_Annual!$F$8:$AD$8),0,(National_Annual!R8-MIN(National_Annual!$F$8:$AD$8))/(MAX(National_Annual!$F$8:$AD$8)-MIN(National_Annual!$F$8:$AD$8))),""))</f>
        <v>0.34042553191489361</v>
      </c>
      <c r="S9" s="14">
        <f>IF(ISBLANK(National_Annual!S8),"",IFERROR(IF(MAX(National_Annual!$F$8:$AD$8)=MIN(National_Annual!$F$8:$AD$8),0,(National_Annual!S8-MIN(National_Annual!$F$8:$AD$8))/(MAX(National_Annual!$F$8:$AD$8)-MIN(National_Annual!$F$8:$AD$8))),""))</f>
        <v>0.25531914893617019</v>
      </c>
      <c r="T9" s="14">
        <f>IF(ISBLANK(National_Annual!T8),"",IFERROR(IF(MAX(National_Annual!$F$8:$AD$8)=MIN(National_Annual!$F$8:$AD$8),0,(National_Annual!T8-MIN(National_Annual!$F$8:$AD$8))/(MAX(National_Annual!$F$8:$AD$8)-MIN(National_Annual!$F$8:$AD$8))),""))</f>
        <v>0.31914893617021278</v>
      </c>
      <c r="U9" s="14">
        <f>IF(ISBLANK(National_Annual!U8),"",IFERROR(IF(MAX(National_Annual!$F$8:$AD$8)=MIN(National_Annual!$F$8:$AD$8),0,(National_Annual!U8-MIN(National_Annual!$F$8:$AD$8))/(MAX(National_Annual!$F$8:$AD$8)-MIN(National_Annual!$F$8:$AD$8))),""))</f>
        <v>0.42553191489361702</v>
      </c>
      <c r="V9" s="14">
        <f>IF(ISBLANK(National_Annual!V8),"",IFERROR(IF(MAX(National_Annual!$F$8:$AD$8)=MIN(National_Annual!$F$8:$AD$8),0,(National_Annual!V8-MIN(National_Annual!$F$8:$AD$8))/(MAX(National_Annual!$F$8:$AD$8)-MIN(National_Annual!$F$8:$AD$8))),""))</f>
        <v>0.51063829787234039</v>
      </c>
      <c r="W9" s="14">
        <f>IF(ISBLANK(National_Annual!W8),"",IFERROR(IF(MAX(National_Annual!$F$8:$AD$8)=MIN(National_Annual!$F$8:$AD$8),0,(National_Annual!W8-MIN(National_Annual!$F$8:$AD$8))/(MAX(National_Annual!$F$8:$AD$8)-MIN(National_Annual!$F$8:$AD$8))),""))</f>
        <v>0.57446808510638303</v>
      </c>
      <c r="X9" s="14">
        <f>IF(ISBLANK(National_Annual!X8),"",IFERROR(IF(MAX(National_Annual!$F$8:$AD$8)=MIN(National_Annual!$F$8:$AD$8),0,(National_Annual!X8-MIN(National_Annual!$F$8:$AD$8))/(MAX(National_Annual!$F$8:$AD$8)-MIN(National_Annual!$F$8:$AD$8))),""))</f>
        <v>0.46808510638297873</v>
      </c>
      <c r="Y9" s="14">
        <f>IF(ISBLANK(National_Annual!Y8),"",IFERROR(IF(MAX(National_Annual!$F$8:$AD$8)=MIN(National_Annual!$F$8:$AD$8),0,(National_Annual!Y8-MIN(National_Annual!$F$8:$AD$8))/(MAX(National_Annual!$F$8:$AD$8)-MIN(National_Annual!$F$8:$AD$8))),""))</f>
        <v>0.5957446808510638</v>
      </c>
      <c r="Z9" s="14">
        <f>IF(ISBLANK(National_Annual!Z8),"",IFERROR(IF(MAX(National_Annual!$F$8:$AD$8)=MIN(National_Annual!$F$8:$AD$8),0,(National_Annual!Z8-MIN(National_Annual!$F$8:$AD$8))/(MAX(National_Annual!$F$8:$AD$8)-MIN(National_Annual!$F$8:$AD$8))),""))</f>
        <v>0.68085106382978722</v>
      </c>
      <c r="AA9" s="14">
        <f>IF(ISBLANK(National_Annual!AA8),"",IFERROR(IF(MAX(National_Annual!$F$8:$AD$8)=MIN(National_Annual!$F$8:$AD$8),0,(National_Annual!AA8-MIN(National_Annual!$F$8:$AD$8))/(MAX(National_Annual!$F$8:$AD$8)-MIN(National_Annual!$F$8:$AD$8))),""))</f>
        <v>0.63829787234042556</v>
      </c>
      <c r="AB9" s="14">
        <f>IF(ISBLANK(National_Annual!AB8),"",IFERROR(IF(MAX(National_Annual!$F$8:$AD$8)=MIN(National_Annual!$F$8:$AD$8),0,(National_Annual!AB8-MIN(National_Annual!$F$8:$AD$8))/(MAX(National_Annual!$F$8:$AD$8)-MIN(National_Annual!$F$8:$AD$8))),""))</f>
        <v>0.93617021276595747</v>
      </c>
      <c r="AC9" s="14">
        <f>IF(ISBLANK(National_Annual!AC8),"",IFERROR(IF(MAX(National_Annual!$F$8:$AD$8)=MIN(National_Annual!$F$8:$AD$8),0,(National_Annual!AC8-MIN(National_Annual!$F$8:$AD$8))/(MAX(National_Annual!$F$8:$AD$8)-MIN(National_Annual!$F$8:$AD$8))),""))</f>
        <v>1</v>
      </c>
      <c r="AD9" s="14">
        <f>IF(ISBLANK(National_Annual!AD8),"",IFERROR(IF(MAX(National_Annual!$F$8:$AD$8)=MIN(National_Annual!$F$8:$AD$8),0,(National_Annual!AD8-MIN(National_Annual!$F$8:$AD$8))/(MAX(National_Annual!$F$8:$AD$8)-MIN(National_Annual!$F$8:$AD$8))),""))</f>
        <v>0.8936170212765957</v>
      </c>
    </row>
    <row r="10" spans="1:30" ht="15" customHeight="1">
      <c r="A10" s="7" t="s">
        <v>82</v>
      </c>
      <c r="B10" s="4" t="s">
        <v>83</v>
      </c>
      <c r="C10" s="4" t="s">
        <v>84</v>
      </c>
      <c r="D10" s="10" t="s">
        <v>68</v>
      </c>
      <c r="E10" s="10" t="s">
        <v>85</v>
      </c>
      <c r="F10" s="14">
        <f>IF(ISBLANK(National_Annual!F9),"",IFERROR(IF(MAX(National_Annual!$F$9:$AD$9)=MIN(National_Annual!$F$9:$AD$9),0,(National_Annual!F9-MIN(National_Annual!$F$9:$AD$9))/(MAX(National_Annual!$F$9:$AD$9)-MIN(National_Annual!$F$9:$AD$9))),""))</f>
        <v>0.69491525423728828</v>
      </c>
      <c r="G10" s="14">
        <f>IF(ISBLANK(National_Annual!G9),"",IFERROR(IF(MAX(National_Annual!$F$9:$AD$9)=MIN(National_Annual!$F$9:$AD$9),0,(National_Annual!G9-MIN(National_Annual!$F$9:$AD$9))/(MAX(National_Annual!$F$9:$AD$9)-MIN(National_Annual!$F$9:$AD$9))),""))</f>
        <v>0.79661016949152552</v>
      </c>
      <c r="H10" s="14">
        <f>IF(ISBLANK(National_Annual!H9),"",IFERROR(IF(MAX(National_Annual!$F$9:$AD$9)=MIN(National_Annual!$F$9:$AD$9),0,(National_Annual!H9-MIN(National_Annual!$F$9:$AD$9))/(MAX(National_Annual!$F$9:$AD$9)-MIN(National_Annual!$F$9:$AD$9))),""))</f>
        <v>0.89830508474576309</v>
      </c>
      <c r="I10" s="14">
        <f>IF(ISBLANK(National_Annual!I9),"",IFERROR(IF(MAX(National_Annual!$F$9:$AD$9)=MIN(National_Annual!$F$9:$AD$9),0,(National_Annual!I9-MIN(National_Annual!$F$9:$AD$9))/(MAX(National_Annual!$F$9:$AD$9)-MIN(National_Annual!$F$9:$AD$9))),""))</f>
        <v>1</v>
      </c>
      <c r="J10" s="14">
        <f>IF(ISBLANK(National_Annual!J9),"",IFERROR(IF(MAX(National_Annual!$F$9:$AD$9)=MIN(National_Annual!$F$9:$AD$9),0,(National_Annual!J9-MIN(National_Annual!$F$9:$AD$9))/(MAX(National_Annual!$F$9:$AD$9)-MIN(National_Annual!$F$9:$AD$9))),""))</f>
        <v>0.67796610169491545</v>
      </c>
      <c r="K10" s="14">
        <f>IF(ISBLANK(National_Annual!K9),"",IFERROR(IF(MAX(National_Annual!$F$9:$AD$9)=MIN(National_Annual!$F$9:$AD$9),0,(National_Annual!K9-MIN(National_Annual!$F$9:$AD$9))/(MAX(National_Annual!$F$9:$AD$9)-MIN(National_Annual!$F$9:$AD$9))),""))</f>
        <v>0.42372881355932213</v>
      </c>
      <c r="L10" s="14">
        <f>IF(ISBLANK(National_Annual!L9),"",IFERROR(IF(MAX(National_Annual!$F$9:$AD$9)=MIN(National_Annual!$F$9:$AD$9),0,(National_Annual!L9-MIN(National_Annual!$F$9:$AD$9))/(MAX(National_Annual!$F$9:$AD$9)-MIN(National_Annual!$F$9:$AD$9))),""))</f>
        <v>0.83050847457627142</v>
      </c>
      <c r="M10" s="14">
        <f>IF(ISBLANK(National_Annual!M9),"",IFERROR(IF(MAX(National_Annual!$F$9:$AD$9)=MIN(National_Annual!$F$9:$AD$9),0,(National_Annual!M9-MIN(National_Annual!$F$9:$AD$9))/(MAX(National_Annual!$F$9:$AD$9)-MIN(National_Annual!$F$9:$AD$9))),""))</f>
        <v>0.22033898305084762</v>
      </c>
      <c r="N10" s="14">
        <f>IF(ISBLANK(National_Annual!N9),"",IFERROR(IF(MAX(National_Annual!$F$9:$AD$9)=MIN(National_Annual!$F$9:$AD$9),0,(National_Annual!N9-MIN(National_Annual!$F$9:$AD$9))/(MAX(National_Annual!$F$9:$AD$9)-MIN(National_Annual!$F$9:$AD$9))),""))</f>
        <v>0.4576271186440678</v>
      </c>
      <c r="O10" s="14">
        <f>IF(ISBLANK(National_Annual!O9),"",IFERROR(IF(MAX(National_Annual!$F$9:$AD$9)=MIN(National_Annual!$F$9:$AD$9),0,(National_Annual!O9-MIN(National_Annual!$F$9:$AD$9))/(MAX(National_Annual!$F$9:$AD$9)-MIN(National_Annual!$F$9:$AD$9))),""))</f>
        <v>0.69491525423728828</v>
      </c>
      <c r="P10" s="14">
        <f>IF(ISBLANK(National_Annual!P9),"",IFERROR(IF(MAX(National_Annual!$F$9:$AD$9)=MIN(National_Annual!$F$9:$AD$9),0,(National_Annual!P9-MIN(National_Annual!$F$9:$AD$9))/(MAX(National_Annual!$F$9:$AD$9)-MIN(National_Annual!$F$9:$AD$9))),""))</f>
        <v>0.59322033898305104</v>
      </c>
      <c r="Q10" s="14">
        <f>IF(ISBLANK(National_Annual!Q9),"",IFERROR(IF(MAX(National_Annual!$F$9:$AD$9)=MIN(National_Annual!$F$9:$AD$9),0,(National_Annual!Q9-MIN(National_Annual!$F$9:$AD$9))/(MAX(National_Annual!$F$9:$AD$9)-MIN(National_Annual!$F$9:$AD$9))),""))</f>
        <v>0.5423728813559322</v>
      </c>
      <c r="R10" s="14">
        <f>IF(ISBLANK(National_Annual!R9),"",IFERROR(IF(MAX(National_Annual!$F$9:$AD$9)=MIN(National_Annual!$F$9:$AD$9),0,(National_Annual!R9-MIN(National_Annual!$F$9:$AD$9))/(MAX(National_Annual!$F$9:$AD$9)-MIN(National_Annual!$F$9:$AD$9))),""))</f>
        <v>0.55932203389830537</v>
      </c>
      <c r="S10" s="14">
        <f>IF(ISBLANK(National_Annual!S9),"",IFERROR(IF(MAX(National_Annual!$F$9:$AD$9)=MIN(National_Annual!$F$9:$AD$9),0,(National_Annual!S9-MIN(National_Annual!$F$9:$AD$9))/(MAX(National_Annual!$F$9:$AD$9)-MIN(National_Annual!$F$9:$AD$9))),""))</f>
        <v>0.61016949152542377</v>
      </c>
      <c r="T10" s="14">
        <f>IF(ISBLANK(National_Annual!T9),"",IFERROR(IF(MAX(National_Annual!$F$9:$AD$9)=MIN(National_Annual!$F$9:$AD$9),0,(National_Annual!T9-MIN(National_Annual!$F$9:$AD$9))/(MAX(National_Annual!$F$9:$AD$9)-MIN(National_Annual!$F$9:$AD$9))),""))</f>
        <v>0.47457627118644091</v>
      </c>
      <c r="U10" s="14">
        <f>IF(ISBLANK(National_Annual!U9),"",IFERROR(IF(MAX(National_Annual!$F$9:$AD$9)=MIN(National_Annual!$F$9:$AD$9),0,(National_Annual!U9-MIN(National_Annual!$F$9:$AD$9))/(MAX(National_Annual!$F$9:$AD$9)-MIN(National_Annual!$F$9:$AD$9))),""))</f>
        <v>0.49152542372881375</v>
      </c>
      <c r="V10" s="14">
        <f>IF(ISBLANK(National_Annual!V9),"",IFERROR(IF(MAX(National_Annual!$F$9:$AD$9)=MIN(National_Annual!$F$9:$AD$9),0,(National_Annual!V9-MIN(National_Annual!$F$9:$AD$9))/(MAX(National_Annual!$F$9:$AD$9)-MIN(National_Annual!$F$9:$AD$9))),""))</f>
        <v>0.20338983050847451</v>
      </c>
      <c r="W10" s="14">
        <f>IF(ISBLANK(National_Annual!W9),"",IFERROR(IF(MAX(National_Annual!$F$9:$AD$9)=MIN(National_Annual!$F$9:$AD$9),0,(National_Annual!W9-MIN(National_Annual!$F$9:$AD$9))/(MAX(National_Annual!$F$9:$AD$9)-MIN(National_Annual!$F$9:$AD$9))),""))</f>
        <v>0.32203389830508489</v>
      </c>
      <c r="X10" s="14">
        <f>IF(ISBLANK(National_Annual!X9),"",IFERROR(IF(MAX(National_Annual!$F$9:$AD$9)=MIN(National_Annual!$F$9:$AD$9),0,(National_Annual!X9-MIN(National_Annual!$F$9:$AD$9))/(MAX(National_Annual!$F$9:$AD$9)-MIN(National_Annual!$F$9:$AD$9))),""))</f>
        <v>0.2711864406779661</v>
      </c>
      <c r="Y10" s="14">
        <f>IF(ISBLANK(National_Annual!Y9),"",IFERROR(IF(MAX(National_Annual!$F$9:$AD$9)=MIN(National_Annual!$F$9:$AD$9),0,(National_Annual!Y9-MIN(National_Annual!$F$9:$AD$9))/(MAX(National_Annual!$F$9:$AD$9)-MIN(National_Annual!$F$9:$AD$9))),""))</f>
        <v>0.22033898305084762</v>
      </c>
      <c r="Z10" s="14">
        <f>IF(ISBLANK(National_Annual!Z9),"",IFERROR(IF(MAX(National_Annual!$F$9:$AD$9)=MIN(National_Annual!$F$9:$AD$9),0,(National_Annual!Z9-MIN(National_Annual!$F$9:$AD$9))/(MAX(National_Annual!$F$9:$AD$9)-MIN(National_Annual!$F$9:$AD$9))),""))</f>
        <v>0.25423728813559326</v>
      </c>
      <c r="AA10" s="14">
        <f>IF(ISBLANK(National_Annual!AA9),"",IFERROR(IF(MAX(National_Annual!$F$9:$AD$9)=MIN(National_Annual!$F$9:$AD$9),0,(National_Annual!AA9-MIN(National_Annual!$F$9:$AD$9))/(MAX(National_Annual!$F$9:$AD$9)-MIN(National_Annual!$F$9:$AD$9))),""))</f>
        <v>0.16949152542372886</v>
      </c>
      <c r="AB10" s="14">
        <f>IF(ISBLANK(National_Annual!AB9),"",IFERROR(IF(MAX(National_Annual!$F$9:$AD$9)=MIN(National_Annual!$F$9:$AD$9),0,(National_Annual!AB9-MIN(National_Annual!$F$9:$AD$9))/(MAX(National_Annual!$F$9:$AD$9)-MIN(National_Annual!$F$9:$AD$9))),""))</f>
        <v>0</v>
      </c>
      <c r="AC10" s="14">
        <f>IF(ISBLANK(National_Annual!AC9),"",IFERROR(IF(MAX(National_Annual!$F$9:$AD$9)=MIN(National_Annual!$F$9:$AD$9),0,(National_Annual!AC9-MIN(National_Annual!$F$9:$AD$9))/(MAX(National_Annual!$F$9:$AD$9)-MIN(National_Annual!$F$9:$AD$9))),""))</f>
        <v>0.15254237288135603</v>
      </c>
      <c r="AD10" s="14">
        <f>IF(ISBLANK(National_Annual!AD9),"",IFERROR(IF(MAX(National_Annual!$F$9:$AD$9)=MIN(National_Annual!$F$9:$AD$9),0,(National_Annual!AD9-MIN(National_Annual!$F$9:$AD$9))/(MAX(National_Annual!$F$9:$AD$9)-MIN(National_Annual!$F$9:$AD$9))),""))</f>
        <v>8.4745762711864431E-2</v>
      </c>
    </row>
    <row r="11" spans="1:30" ht="15" customHeight="1">
      <c r="A11" s="7" t="s">
        <v>86</v>
      </c>
      <c r="B11" s="4" t="s">
        <v>87</v>
      </c>
      <c r="C11" s="4" t="s">
        <v>88</v>
      </c>
      <c r="D11" s="10" t="s">
        <v>68</v>
      </c>
      <c r="E11" s="10" t="s">
        <v>85</v>
      </c>
      <c r="F11" s="14">
        <f>IF(ISBLANK(National_Annual!F10),"",IFERROR(IF(MAX(National_Annual!$F$10:$AD$10)=MIN(National_Annual!$F$10:$AD$10),0,(National_Annual!F10-MIN(National_Annual!$F$10:$AD$10))/(MAX(National_Annual!$F$10:$AD$10)-MIN(National_Annual!$F$10:$AD$10))),""))</f>
        <v>1</v>
      </c>
      <c r="G11" s="14">
        <f>IF(ISBLANK(National_Annual!G10),"",IFERROR(IF(MAX(National_Annual!$F$10:$AD$10)=MIN(National_Annual!$F$10:$AD$10),0,(National_Annual!G10-MIN(National_Annual!$F$10:$AD$10))/(MAX(National_Annual!$F$10:$AD$10)-MIN(National_Annual!$F$10:$AD$10))),""))</f>
        <v>0.95104895104895137</v>
      </c>
      <c r="H11" s="14">
        <f>IF(ISBLANK(National_Annual!H10),"",IFERROR(IF(MAX(National_Annual!$F$10:$AD$10)=MIN(National_Annual!$F$10:$AD$10),0,(National_Annual!H10-MIN(National_Annual!$F$10:$AD$10))/(MAX(National_Annual!$F$10:$AD$10)-MIN(National_Annual!$F$10:$AD$10))),""))</f>
        <v>0.90909090909090928</v>
      </c>
      <c r="I11" s="14">
        <f>IF(ISBLANK(National_Annual!I10),"",IFERROR(IF(MAX(National_Annual!$F$10:$AD$10)=MIN(National_Annual!$F$10:$AD$10),0,(National_Annual!I10-MIN(National_Annual!$F$10:$AD$10))/(MAX(National_Annual!$F$10:$AD$10)-MIN(National_Annual!$F$10:$AD$10))),""))</f>
        <v>0.8601398601398601</v>
      </c>
      <c r="J11" s="14">
        <f>IF(ISBLANK(National_Annual!J10),"",IFERROR(IF(MAX(National_Annual!$F$10:$AD$10)=MIN(National_Annual!$F$10:$AD$10),0,(National_Annual!J10-MIN(National_Annual!$F$10:$AD$10))/(MAX(National_Annual!$F$10:$AD$10)-MIN(National_Annual!$F$10:$AD$10))),""))</f>
        <v>0.81118881118881148</v>
      </c>
      <c r="K11" s="14">
        <f>IF(ISBLANK(National_Annual!K10),"",IFERROR(IF(MAX(National_Annual!$F$10:$AD$10)=MIN(National_Annual!$F$10:$AD$10),0,(National_Annual!K10-MIN(National_Annual!$F$10:$AD$10))/(MAX(National_Annual!$F$10:$AD$10)-MIN(National_Annual!$F$10:$AD$10))),""))</f>
        <v>0.76923076923076938</v>
      </c>
      <c r="L11" s="14">
        <f>IF(ISBLANK(National_Annual!L10),"",IFERROR(IF(MAX(National_Annual!$F$10:$AD$10)=MIN(National_Annual!$F$10:$AD$10),0,(National_Annual!L10-MIN(National_Annual!$F$10:$AD$10))/(MAX(National_Annual!$F$10:$AD$10)-MIN(National_Annual!$F$10:$AD$10))),""))</f>
        <v>0.72727272727272729</v>
      </c>
      <c r="M11" s="14">
        <f>IF(ISBLANK(National_Annual!M10),"",IFERROR(IF(MAX(National_Annual!$F$10:$AD$10)=MIN(National_Annual!$F$10:$AD$10),0,(National_Annual!M10-MIN(National_Annual!$F$10:$AD$10))/(MAX(National_Annual!$F$10:$AD$10)-MIN(National_Annual!$F$10:$AD$10))),""))</f>
        <v>0.6853146853146852</v>
      </c>
      <c r="N11" s="14">
        <f>IF(ISBLANK(National_Annual!N10),"",IFERROR(IF(MAX(National_Annual!$F$10:$AD$10)=MIN(National_Annual!$F$10:$AD$10),0,(National_Annual!N10-MIN(National_Annual!$F$10:$AD$10))/(MAX(National_Annual!$F$10:$AD$10)-MIN(National_Annual!$F$10:$AD$10))),""))</f>
        <v>0.62937062937062949</v>
      </c>
      <c r="O11" s="14">
        <f>IF(ISBLANK(National_Annual!O10),"",IFERROR(IF(MAX(National_Annual!$F$10:$AD$10)=MIN(National_Annual!$F$10:$AD$10),0,(National_Annual!O10-MIN(National_Annual!$F$10:$AD$10))/(MAX(National_Annual!$F$10:$AD$10)-MIN(National_Annual!$F$10:$AD$10))),""))</f>
        <v>0.58041958041958031</v>
      </c>
      <c r="P11" s="14">
        <f>IF(ISBLANK(National_Annual!P10),"",IFERROR(IF(MAX(National_Annual!$F$10:$AD$10)=MIN(National_Annual!$F$10:$AD$10),0,(National_Annual!P10-MIN(National_Annual!$F$10:$AD$10))/(MAX(National_Annual!$F$10:$AD$10)-MIN(National_Annual!$F$10:$AD$10))),""))</f>
        <v>0.52447552447552459</v>
      </c>
      <c r="Q11" s="14">
        <f>IF(ISBLANK(National_Annual!Q10),"",IFERROR(IF(MAX(National_Annual!$F$10:$AD$10)=MIN(National_Annual!$F$10:$AD$10),0,(National_Annual!Q10-MIN(National_Annual!$F$10:$AD$10))/(MAX(National_Annual!$F$10:$AD$10)-MIN(National_Annual!$F$10:$AD$10))),""))</f>
        <v>0.47552447552447541</v>
      </c>
      <c r="R11" s="14">
        <f>IF(ISBLANK(National_Annual!R10),"",IFERROR(IF(MAX(National_Annual!$F$10:$AD$10)=MIN(National_Annual!$F$10:$AD$10),0,(National_Annual!R10-MIN(National_Annual!$F$10:$AD$10))/(MAX(National_Annual!$F$10:$AD$10)-MIN(National_Annual!$F$10:$AD$10))),""))</f>
        <v>0.42657342657342678</v>
      </c>
      <c r="S11" s="14">
        <f>IF(ISBLANK(National_Annual!S10),"",IFERROR(IF(MAX(National_Annual!$F$10:$AD$10)=MIN(National_Annual!$F$10:$AD$10),0,(National_Annual!S10-MIN(National_Annual!$F$10:$AD$10))/(MAX(National_Annual!$F$10:$AD$10)-MIN(National_Annual!$F$10:$AD$10))),""))</f>
        <v>0.3776223776223776</v>
      </c>
      <c r="T11" s="14">
        <f>IF(ISBLANK(National_Annual!T10),"",IFERROR(IF(MAX(National_Annual!$F$10:$AD$10)=MIN(National_Annual!$F$10:$AD$10),0,(National_Annual!T10-MIN(National_Annual!$F$10:$AD$10))/(MAX(National_Annual!$F$10:$AD$10)-MIN(National_Annual!$F$10:$AD$10))),""))</f>
        <v>0.32867132867132892</v>
      </c>
      <c r="U11" s="14">
        <f>IF(ISBLANK(National_Annual!U10),"",IFERROR(IF(MAX(National_Annual!$F$10:$AD$10)=MIN(National_Annual!$F$10:$AD$10),0,(National_Annual!U10-MIN(National_Annual!$F$10:$AD$10))/(MAX(National_Annual!$F$10:$AD$10)-MIN(National_Annual!$F$10:$AD$10))),""))</f>
        <v>0.2797202797202798</v>
      </c>
      <c r="V11" s="14">
        <f>IF(ISBLANK(National_Annual!V10),"",IFERROR(IF(MAX(National_Annual!$F$10:$AD$10)=MIN(National_Annual!$F$10:$AD$10),0,(National_Annual!V10-MIN(National_Annual!$F$10:$AD$10))/(MAX(National_Annual!$F$10:$AD$10)-MIN(National_Annual!$F$10:$AD$10))),""))</f>
        <v>0.24475524475524479</v>
      </c>
      <c r="W11" s="14">
        <f>IF(ISBLANK(National_Annual!W10),"",IFERROR(IF(MAX(National_Annual!$F$10:$AD$10)=MIN(National_Annual!$F$10:$AD$10),0,(National_Annual!W10-MIN(National_Annual!$F$10:$AD$10))/(MAX(National_Annual!$F$10:$AD$10)-MIN(National_Annual!$F$10:$AD$10))),""))</f>
        <v>0.20279720279720273</v>
      </c>
      <c r="X11" s="14">
        <f>IF(ISBLANK(National_Annual!X10),"",IFERROR(IF(MAX(National_Annual!$F$10:$AD$10)=MIN(National_Annual!$F$10:$AD$10),0,(National_Annual!X10-MIN(National_Annual!$F$10:$AD$10))/(MAX(National_Annual!$F$10:$AD$10)-MIN(National_Annual!$F$10:$AD$10))),""))</f>
        <v>0.17482517482517487</v>
      </c>
      <c r="Y11" s="14">
        <f>IF(ISBLANK(National_Annual!Y10),"",IFERROR(IF(MAX(National_Annual!$F$10:$AD$10)=MIN(National_Annual!$F$10:$AD$10),0,(National_Annual!Y10-MIN(National_Annual!$F$10:$AD$10))/(MAX(National_Annual!$F$10:$AD$10)-MIN(National_Annual!$F$10:$AD$10))),""))</f>
        <v>0.1398601398601399</v>
      </c>
      <c r="Z11" s="14">
        <f>IF(ISBLANK(National_Annual!Z10),"",IFERROR(IF(MAX(National_Annual!$F$10:$AD$10)=MIN(National_Annual!$F$10:$AD$10),0,(National_Annual!Z10-MIN(National_Annual!$F$10:$AD$10))/(MAX(National_Annual!$F$10:$AD$10)-MIN(National_Annual!$F$10:$AD$10))),""))</f>
        <v>0.10489510489510491</v>
      </c>
      <c r="AA11" s="14">
        <f>IF(ISBLANK(National_Annual!AA10),"",IFERROR(IF(MAX(National_Annual!$F$10:$AD$10)=MIN(National_Annual!$F$10:$AD$10),0,(National_Annual!AA10-MIN(National_Annual!$F$10:$AD$10))/(MAX(National_Annual!$F$10:$AD$10)-MIN(National_Annual!$F$10:$AD$10))),""))</f>
        <v>6.9930069930069949E-2</v>
      </c>
      <c r="AB11" s="14">
        <f>IF(ISBLANK(National_Annual!AB10),"",IFERROR(IF(MAX(National_Annual!$F$10:$AD$10)=MIN(National_Annual!$F$10:$AD$10),0,(National_Annual!AB10-MIN(National_Annual!$F$10:$AD$10))/(MAX(National_Annual!$F$10:$AD$10)-MIN(National_Annual!$F$10:$AD$10))),""))</f>
        <v>4.895104895104891E-2</v>
      </c>
      <c r="AC11" s="14">
        <f>IF(ISBLANK(National_Annual!AC10),"",IFERROR(IF(MAX(National_Annual!$F$10:$AD$10)=MIN(National_Annual!$F$10:$AD$10),0,(National_Annual!AC10-MIN(National_Annual!$F$10:$AD$10))/(MAX(National_Annual!$F$10:$AD$10)-MIN(National_Annual!$F$10:$AD$10))),""))</f>
        <v>2.0979020979021032E-2</v>
      </c>
      <c r="AD11" s="14">
        <f>IF(ISBLANK(National_Annual!AD10),"",IFERROR(IF(MAX(National_Annual!$F$10:$AD$10)=MIN(National_Annual!$F$10:$AD$10),0,(National_Annual!AD10-MIN(National_Annual!$F$10:$AD$10))/(MAX(National_Annual!$F$10:$AD$10)-MIN(National_Annual!$F$10:$AD$10))),""))</f>
        <v>0</v>
      </c>
    </row>
    <row r="12" spans="1:30" ht="15" customHeight="1">
      <c r="A12" s="7" t="s">
        <v>89</v>
      </c>
      <c r="B12" s="4" t="s">
        <v>90</v>
      </c>
      <c r="C12" s="4" t="s">
        <v>91</v>
      </c>
      <c r="D12" s="10" t="s">
        <v>75</v>
      </c>
      <c r="E12" s="10" t="s">
        <v>85</v>
      </c>
      <c r="F12" s="14">
        <f>IF(ISBLANK(National_Annual!F11),"",IFERROR(IF(MAX(National_Annual!$F$11:$AD$11)=MIN(National_Annual!$F$11:$AD$11),0,(MAX(National_Annual!$F$11:$AD$11)-National_Annual!F11)/(MAX(National_Annual!$F$11:$AD$11)-MIN(National_Annual!$F$11:$AD$11))),""))</f>
        <v>0</v>
      </c>
      <c r="G12" s="14">
        <f>IF(ISBLANK(National_Annual!G11),"",IFERROR(IF(MAX(National_Annual!$F$11:$AD$11)=MIN(National_Annual!$F$11:$AD$11),0,(MAX(National_Annual!$F$11:$AD$11)-National_Annual!G11)/(MAX(National_Annual!$F$11:$AD$11)-MIN(National_Annual!$F$11:$AD$11))),""))</f>
        <v>2.9411764705882353E-2</v>
      </c>
      <c r="H12" s="14">
        <f>IF(ISBLANK(National_Annual!H11),"",IFERROR(IF(MAX(National_Annual!$F$11:$AD$11)=MIN(National_Annual!$F$11:$AD$11),0,(MAX(National_Annual!$F$11:$AD$11)-National_Annual!H11)/(MAX(National_Annual!$F$11:$AD$11)-MIN(National_Annual!$F$11:$AD$11))),""))</f>
        <v>5.8823529411764705E-2</v>
      </c>
      <c r="I12" s="14">
        <f>IF(ISBLANK(National_Annual!I11),"",IFERROR(IF(MAX(National_Annual!$F$11:$AD$11)=MIN(National_Annual!$F$11:$AD$11),0,(MAX(National_Annual!$F$11:$AD$11)-National_Annual!I11)/(MAX(National_Annual!$F$11:$AD$11)-MIN(National_Annual!$F$11:$AD$11))),""))</f>
        <v>0.10294117647058823</v>
      </c>
      <c r="J12" s="14">
        <f>IF(ISBLANK(National_Annual!J11),"",IFERROR(IF(MAX(National_Annual!$F$11:$AD$11)=MIN(National_Annual!$F$11:$AD$11),0,(MAX(National_Annual!$F$11:$AD$11)-National_Annual!J11)/(MAX(National_Annual!$F$11:$AD$11)-MIN(National_Annual!$F$11:$AD$11))),""))</f>
        <v>0.14705882352941177</v>
      </c>
      <c r="K12" s="14">
        <f>IF(ISBLANK(National_Annual!K11),"",IFERROR(IF(MAX(National_Annual!$F$11:$AD$11)=MIN(National_Annual!$F$11:$AD$11),0,(MAX(National_Annual!$F$11:$AD$11)-National_Annual!K11)/(MAX(National_Annual!$F$11:$AD$11)-MIN(National_Annual!$F$11:$AD$11))),""))</f>
        <v>0.19117647058823528</v>
      </c>
      <c r="L12" s="14">
        <f>IF(ISBLANK(National_Annual!L11),"",IFERROR(IF(MAX(National_Annual!$F$11:$AD$11)=MIN(National_Annual!$F$11:$AD$11),0,(MAX(National_Annual!$F$11:$AD$11)-National_Annual!L11)/(MAX(National_Annual!$F$11:$AD$11)-MIN(National_Annual!$F$11:$AD$11))),""))</f>
        <v>0.23529411764705882</v>
      </c>
      <c r="M12" s="14">
        <f>IF(ISBLANK(National_Annual!M11),"",IFERROR(IF(MAX(National_Annual!$F$11:$AD$11)=MIN(National_Annual!$F$11:$AD$11),0,(MAX(National_Annual!$F$11:$AD$11)-National_Annual!M11)/(MAX(National_Annual!$F$11:$AD$11)-MIN(National_Annual!$F$11:$AD$11))),""))</f>
        <v>0.27941176470588236</v>
      </c>
      <c r="N12" s="14">
        <f>IF(ISBLANK(National_Annual!N11),"",IFERROR(IF(MAX(National_Annual!$F$11:$AD$11)=MIN(National_Annual!$F$11:$AD$11),0,(MAX(National_Annual!$F$11:$AD$11)-National_Annual!N11)/(MAX(National_Annual!$F$11:$AD$11)-MIN(National_Annual!$F$11:$AD$11))),""))</f>
        <v>0.30882352941176472</v>
      </c>
      <c r="O12" s="14">
        <f>IF(ISBLANK(National_Annual!O11),"",IFERROR(IF(MAX(National_Annual!$F$11:$AD$11)=MIN(National_Annual!$F$11:$AD$11),0,(MAX(National_Annual!$F$11:$AD$11)-National_Annual!O11)/(MAX(National_Annual!$F$11:$AD$11)-MIN(National_Annual!$F$11:$AD$11))),""))</f>
        <v>0.33823529411764708</v>
      </c>
      <c r="P12" s="14">
        <f>IF(ISBLANK(National_Annual!P11),"",IFERROR(IF(MAX(National_Annual!$F$11:$AD$11)=MIN(National_Annual!$F$11:$AD$11),0,(MAX(National_Annual!$F$11:$AD$11)-National_Annual!P11)/(MAX(National_Annual!$F$11:$AD$11)-MIN(National_Annual!$F$11:$AD$11))),""))</f>
        <v>0.38235294117647056</v>
      </c>
      <c r="Q12" s="14">
        <f>IF(ISBLANK(National_Annual!Q11),"",IFERROR(IF(MAX(National_Annual!$F$11:$AD$11)=MIN(National_Annual!$F$11:$AD$11),0,(MAX(National_Annual!$F$11:$AD$11)-National_Annual!Q11)/(MAX(National_Annual!$F$11:$AD$11)-MIN(National_Annual!$F$11:$AD$11))),""))</f>
        <v>0.41176470588235292</v>
      </c>
      <c r="R12" s="14">
        <f>IF(ISBLANK(National_Annual!R11),"",IFERROR(IF(MAX(National_Annual!$F$11:$AD$11)=MIN(National_Annual!$F$11:$AD$11),0,(MAX(National_Annual!$F$11:$AD$11)-National_Annual!R11)/(MAX(National_Annual!$F$11:$AD$11)-MIN(National_Annual!$F$11:$AD$11))),""))</f>
        <v>0.45588235294117646</v>
      </c>
      <c r="S12" s="14">
        <f>IF(ISBLANK(National_Annual!S11),"",IFERROR(IF(MAX(National_Annual!$F$11:$AD$11)=MIN(National_Annual!$F$11:$AD$11),0,(MAX(National_Annual!$F$11:$AD$11)-National_Annual!S11)/(MAX(National_Annual!$F$11:$AD$11)-MIN(National_Annual!$F$11:$AD$11))),""))</f>
        <v>0.5</v>
      </c>
      <c r="T12" s="14">
        <f>IF(ISBLANK(National_Annual!T11),"",IFERROR(IF(MAX(National_Annual!$F$11:$AD$11)=MIN(National_Annual!$F$11:$AD$11),0,(MAX(National_Annual!$F$11:$AD$11)-National_Annual!T11)/(MAX(National_Annual!$F$11:$AD$11)-MIN(National_Annual!$F$11:$AD$11))),""))</f>
        <v>0.54411764705882348</v>
      </c>
      <c r="U12" s="14">
        <f>IF(ISBLANK(National_Annual!U11),"",IFERROR(IF(MAX(National_Annual!$F$11:$AD$11)=MIN(National_Annual!$F$11:$AD$11),0,(MAX(National_Annual!$F$11:$AD$11)-National_Annual!U11)/(MAX(National_Annual!$F$11:$AD$11)-MIN(National_Annual!$F$11:$AD$11))),""))</f>
        <v>0.58823529411764708</v>
      </c>
      <c r="V12" s="14">
        <f>IF(ISBLANK(National_Annual!V11),"",IFERROR(IF(MAX(National_Annual!$F$11:$AD$11)=MIN(National_Annual!$F$11:$AD$11),0,(MAX(National_Annual!$F$11:$AD$11)-National_Annual!V11)/(MAX(National_Annual!$F$11:$AD$11)-MIN(National_Annual!$F$11:$AD$11))),""))</f>
        <v>0.63235294117647056</v>
      </c>
      <c r="W12" s="14">
        <f>IF(ISBLANK(National_Annual!W11),"",IFERROR(IF(MAX(National_Annual!$F$11:$AD$11)=MIN(National_Annual!$F$11:$AD$11),0,(MAX(National_Annual!$F$11:$AD$11)-National_Annual!W11)/(MAX(National_Annual!$F$11:$AD$11)-MIN(National_Annual!$F$11:$AD$11))),""))</f>
        <v>0.67647058823529416</v>
      </c>
      <c r="X12" s="14">
        <f>IF(ISBLANK(National_Annual!X11),"",IFERROR(IF(MAX(National_Annual!$F$11:$AD$11)=MIN(National_Annual!$F$11:$AD$11),0,(MAX(National_Annual!$F$11:$AD$11)-National_Annual!X11)/(MAX(National_Annual!$F$11:$AD$11)-MIN(National_Annual!$F$11:$AD$11))),""))</f>
        <v>0.72058823529411764</v>
      </c>
      <c r="Y12" s="14">
        <f>IF(ISBLANK(National_Annual!Y11),"",IFERROR(IF(MAX(National_Annual!$F$11:$AD$11)=MIN(National_Annual!$F$11:$AD$11),0,(MAX(National_Annual!$F$11:$AD$11)-National_Annual!Y11)/(MAX(National_Annual!$F$11:$AD$11)-MIN(National_Annual!$F$11:$AD$11))),""))</f>
        <v>0.76470588235294112</v>
      </c>
      <c r="Z12" s="14">
        <f>IF(ISBLANK(National_Annual!Z11),"",IFERROR(IF(MAX(National_Annual!$F$11:$AD$11)=MIN(National_Annual!$F$11:$AD$11),0,(MAX(National_Annual!$F$11:$AD$11)-National_Annual!Z11)/(MAX(National_Annual!$F$11:$AD$11)-MIN(National_Annual!$F$11:$AD$11))),""))</f>
        <v>0.80882352941176472</v>
      </c>
      <c r="AA12" s="14">
        <f>IF(ISBLANK(National_Annual!AA11),"",IFERROR(IF(MAX(National_Annual!$F$11:$AD$11)=MIN(National_Annual!$F$11:$AD$11),0,(MAX(National_Annual!$F$11:$AD$11)-National_Annual!AA11)/(MAX(National_Annual!$F$11:$AD$11)-MIN(National_Annual!$F$11:$AD$11))),""))</f>
        <v>0.8529411764705882</v>
      </c>
      <c r="AB12" s="14">
        <f>IF(ISBLANK(National_Annual!AB11),"",IFERROR(IF(MAX(National_Annual!$F$11:$AD$11)=MIN(National_Annual!$F$11:$AD$11),0,(MAX(National_Annual!$F$11:$AD$11)-National_Annual!AB11)/(MAX(National_Annual!$F$11:$AD$11)-MIN(National_Annual!$F$11:$AD$11))),""))</f>
        <v>0.91176470588235292</v>
      </c>
      <c r="AC12" s="14">
        <f>IF(ISBLANK(National_Annual!AC11),"",IFERROR(IF(MAX(National_Annual!$F$11:$AD$11)=MIN(National_Annual!$F$11:$AD$11),0,(MAX(National_Annual!$F$11:$AD$11)-National_Annual!AC11)/(MAX(National_Annual!$F$11:$AD$11)-MIN(National_Annual!$F$11:$AD$11))),""))</f>
        <v>0.95588235294117652</v>
      </c>
      <c r="AD12" s="14">
        <f>IF(ISBLANK(National_Annual!AD11),"",IFERROR(IF(MAX(National_Annual!$F$11:$AD$11)=MIN(National_Annual!$F$11:$AD$11),0,(MAX(National_Annual!$F$11:$AD$11)-National_Annual!AD11)/(MAX(National_Annual!$F$11:$AD$11)-MIN(National_Annual!$F$11:$AD$11))),""))</f>
        <v>1</v>
      </c>
    </row>
    <row r="13" spans="1:30" ht="15" customHeight="1">
      <c r="A13" s="7" t="s">
        <v>92</v>
      </c>
      <c r="B13" s="4" t="s">
        <v>93</v>
      </c>
      <c r="C13" s="4" t="s">
        <v>88</v>
      </c>
      <c r="D13" s="10" t="s">
        <v>68</v>
      </c>
      <c r="E13" s="10" t="s">
        <v>85</v>
      </c>
      <c r="F13" s="14">
        <f>IF(ISBLANK(National_Annual!F12),"",IFERROR(IF(MAX(National_Annual!$F$12:$AD$12)=MIN(National_Annual!$F$12:$AD$12),0,(National_Annual!F12-MIN(National_Annual!$F$12:$AD$12))/(MAX(National_Annual!$F$12:$AD$12)-MIN(National_Annual!$F$12:$AD$12))),""))</f>
        <v>1</v>
      </c>
      <c r="G13" s="14">
        <f>IF(ISBLANK(National_Annual!G12),"",IFERROR(IF(MAX(National_Annual!$F$12:$AD$12)=MIN(National_Annual!$F$12:$AD$12),0,(National_Annual!G12-MIN(National_Annual!$F$12:$AD$12))/(MAX(National_Annual!$F$12:$AD$12)-MIN(National_Annual!$F$12:$AD$12))),""))</f>
        <v>0.94520547945205502</v>
      </c>
      <c r="H13" s="14">
        <f>IF(ISBLANK(National_Annual!H12),"",IFERROR(IF(MAX(National_Annual!$F$12:$AD$12)=MIN(National_Annual!$F$12:$AD$12),0,(National_Annual!H12-MIN(National_Annual!$F$12:$AD$12))/(MAX(National_Annual!$F$12:$AD$12)-MIN(National_Annual!$F$12:$AD$12))),""))</f>
        <v>0.89041095890410993</v>
      </c>
      <c r="I13" s="14">
        <f>IF(ISBLANK(National_Annual!I12),"",IFERROR(IF(MAX(National_Annual!$F$12:$AD$12)=MIN(National_Annual!$F$12:$AD$12),0,(National_Annual!I12-MIN(National_Annual!$F$12:$AD$12))/(MAX(National_Annual!$F$12:$AD$12)-MIN(National_Annual!$F$12:$AD$12))),""))</f>
        <v>0.83561643835616439</v>
      </c>
      <c r="J13" s="14">
        <f>IF(ISBLANK(National_Annual!J12),"",IFERROR(IF(MAX(National_Annual!$F$12:$AD$12)=MIN(National_Annual!$F$12:$AD$12),0,(National_Annual!J12-MIN(National_Annual!$F$12:$AD$12))/(MAX(National_Annual!$F$12:$AD$12)-MIN(National_Annual!$F$12:$AD$12))),""))</f>
        <v>0.78082191780821941</v>
      </c>
      <c r="K13" s="14">
        <f>IF(ISBLANK(National_Annual!K12),"",IFERROR(IF(MAX(National_Annual!$F$12:$AD$12)=MIN(National_Annual!$F$12:$AD$12),0,(National_Annual!K12-MIN(National_Annual!$F$12:$AD$12))/(MAX(National_Annual!$F$12:$AD$12)-MIN(National_Annual!$F$12:$AD$12))),""))</f>
        <v>0.72602739726027388</v>
      </c>
      <c r="L13" s="14">
        <f>IF(ISBLANK(National_Annual!L12),"",IFERROR(IF(MAX(National_Annual!$F$12:$AD$12)=MIN(National_Annual!$F$12:$AD$12),0,(National_Annual!L12-MIN(National_Annual!$F$12:$AD$12))/(MAX(National_Annual!$F$12:$AD$12)-MIN(National_Annual!$F$12:$AD$12))),""))</f>
        <v>0.67123287671232879</v>
      </c>
      <c r="M13" s="14">
        <f>IF(ISBLANK(National_Annual!M12),"",IFERROR(IF(MAX(National_Annual!$F$12:$AD$12)=MIN(National_Annual!$F$12:$AD$12),0,(National_Annual!M12-MIN(National_Annual!$F$12:$AD$12))/(MAX(National_Annual!$F$12:$AD$12)-MIN(National_Annual!$F$12:$AD$12))),""))</f>
        <v>0.6164383561643838</v>
      </c>
      <c r="N13" s="14">
        <f>IF(ISBLANK(National_Annual!N12),"",IFERROR(IF(MAX(National_Annual!$F$12:$AD$12)=MIN(National_Annual!$F$12:$AD$12),0,(National_Annual!N12-MIN(National_Annual!$F$12:$AD$12))/(MAX(National_Annual!$F$12:$AD$12)-MIN(National_Annual!$F$12:$AD$12))),""))</f>
        <v>0.56849315068493156</v>
      </c>
      <c r="O13" s="14">
        <f>IF(ISBLANK(National_Annual!O12),"",IFERROR(IF(MAX(National_Annual!$F$12:$AD$12)=MIN(National_Annual!$F$12:$AD$12),0,(National_Annual!O12-MIN(National_Annual!$F$12:$AD$12))/(MAX(National_Annual!$F$12:$AD$12)-MIN(National_Annual!$F$12:$AD$12))),""))</f>
        <v>0.52054794520547931</v>
      </c>
      <c r="P13" s="14">
        <f>IF(ISBLANK(National_Annual!P12),"",IFERROR(IF(MAX(National_Annual!$F$12:$AD$12)=MIN(National_Annual!$F$12:$AD$12),0,(National_Annual!P12-MIN(National_Annual!$F$12:$AD$12))/(MAX(National_Annual!$F$12:$AD$12)-MIN(National_Annual!$F$12:$AD$12))),""))</f>
        <v>0.47945205479452074</v>
      </c>
      <c r="Q13" s="14">
        <f>IF(ISBLANK(National_Annual!Q12),"",IFERROR(IF(MAX(National_Annual!$F$12:$AD$12)=MIN(National_Annual!$F$12:$AD$12),0,(National_Annual!Q12-MIN(National_Annual!$F$12:$AD$12))/(MAX(National_Annual!$F$12:$AD$12)-MIN(National_Annual!$F$12:$AD$12))),""))</f>
        <v>0.43835616438356173</v>
      </c>
      <c r="R13" s="14">
        <f>IF(ISBLANK(National_Annual!R12),"",IFERROR(IF(MAX(National_Annual!$F$12:$AD$12)=MIN(National_Annual!$F$12:$AD$12),0,(National_Annual!R12-MIN(National_Annual!$F$12:$AD$12))/(MAX(National_Annual!$F$12:$AD$12)-MIN(National_Annual!$F$12:$AD$12))),""))</f>
        <v>0.39726027397260272</v>
      </c>
      <c r="S13" s="14">
        <f>IF(ISBLANK(National_Annual!S12),"",IFERROR(IF(MAX(National_Annual!$F$12:$AD$12)=MIN(National_Annual!$F$12:$AD$12),0,(National_Annual!S12-MIN(National_Annual!$F$12:$AD$12))/(MAX(National_Annual!$F$12:$AD$12)-MIN(National_Annual!$F$12:$AD$12))),""))</f>
        <v>0.3561643835616437</v>
      </c>
      <c r="T13" s="14">
        <f>IF(ISBLANK(National_Annual!T12),"",IFERROR(IF(MAX(National_Annual!$F$12:$AD$12)=MIN(National_Annual!$F$12:$AD$12),0,(National_Annual!T12-MIN(National_Annual!$F$12:$AD$12))/(MAX(National_Annual!$F$12:$AD$12)-MIN(National_Annual!$F$12:$AD$12))),""))</f>
        <v>0.32191780821917793</v>
      </c>
      <c r="U13" s="14">
        <f>IF(ISBLANK(National_Annual!U12),"",IFERROR(IF(MAX(National_Annual!$F$12:$AD$12)=MIN(National_Annual!$F$12:$AD$12),0,(National_Annual!U12-MIN(National_Annual!$F$12:$AD$12))/(MAX(National_Annual!$F$12:$AD$12)-MIN(National_Annual!$F$12:$AD$12))),""))</f>
        <v>0.28767123287671215</v>
      </c>
      <c r="V13" s="14">
        <f>IF(ISBLANK(National_Annual!V12),"",IFERROR(IF(MAX(National_Annual!$F$12:$AD$12)=MIN(National_Annual!$F$12:$AD$12),0,(National_Annual!V12-MIN(National_Annual!$F$12:$AD$12))/(MAX(National_Annual!$F$12:$AD$12)-MIN(National_Annual!$F$12:$AD$12))),""))</f>
        <v>0.25342465753424637</v>
      </c>
      <c r="W13" s="14">
        <f>IF(ISBLANK(National_Annual!W12),"",IFERROR(IF(MAX(National_Annual!$F$12:$AD$12)=MIN(National_Annual!$F$12:$AD$12),0,(National_Annual!W12-MIN(National_Annual!$F$12:$AD$12))/(MAX(National_Annual!$F$12:$AD$12)-MIN(National_Annual!$F$12:$AD$12))),""))</f>
        <v>0.21917808219178062</v>
      </c>
      <c r="X13" s="14">
        <f>IF(ISBLANK(National_Annual!X12),"",IFERROR(IF(MAX(National_Annual!$F$12:$AD$12)=MIN(National_Annual!$F$12:$AD$12),0,(National_Annual!X12-MIN(National_Annual!$F$12:$AD$12))/(MAX(National_Annual!$F$12:$AD$12)-MIN(National_Annual!$F$12:$AD$12))),""))</f>
        <v>0.18493150684931484</v>
      </c>
      <c r="Y13" s="14">
        <f>IF(ISBLANK(National_Annual!Y12),"",IFERROR(IF(MAX(National_Annual!$F$12:$AD$12)=MIN(National_Annual!$F$12:$AD$12),0,(National_Annual!Y12-MIN(National_Annual!$F$12:$AD$12))/(MAX(National_Annual!$F$12:$AD$12)-MIN(National_Annual!$F$12:$AD$12))),""))</f>
        <v>0.15753424657534235</v>
      </c>
      <c r="Z13" s="14">
        <f>IF(ISBLANK(National_Annual!Z12),"",IFERROR(IF(MAX(National_Annual!$F$12:$AD$12)=MIN(National_Annual!$F$12:$AD$12),0,(National_Annual!Z12-MIN(National_Annual!$F$12:$AD$12))/(MAX(National_Annual!$F$12:$AD$12)-MIN(National_Annual!$F$12:$AD$12))),""))</f>
        <v>0.12328767123287657</v>
      </c>
      <c r="AA13" s="14">
        <f>IF(ISBLANK(National_Annual!AA12),"",IFERROR(IF(MAX(National_Annual!$F$12:$AD$12)=MIN(National_Annual!$F$12:$AD$12),0,(National_Annual!AA12-MIN(National_Annual!$F$12:$AD$12))/(MAX(National_Annual!$F$12:$AD$12)-MIN(National_Annual!$F$12:$AD$12))),""))</f>
        <v>8.9041095890410801E-2</v>
      </c>
      <c r="AB13" s="14">
        <f>IF(ISBLANK(National_Annual!AB12),"",IFERROR(IF(MAX(National_Annual!$F$12:$AD$12)=MIN(National_Annual!$F$12:$AD$12),0,(National_Annual!AB12-MIN(National_Annual!$F$12:$AD$12))/(MAX(National_Annual!$F$12:$AD$12)-MIN(National_Annual!$F$12:$AD$12))),""))</f>
        <v>5.4794520547945029E-2</v>
      </c>
      <c r="AC13" s="14">
        <f>IF(ISBLANK(National_Annual!AC12),"",IFERROR(IF(MAX(National_Annual!$F$12:$AD$12)=MIN(National_Annual!$F$12:$AD$12),0,(National_Annual!AC12-MIN(National_Annual!$F$12:$AD$12))/(MAX(National_Annual!$F$12:$AD$12)-MIN(National_Annual!$F$12:$AD$12))),""))</f>
        <v>2.7397260273972514E-2</v>
      </c>
      <c r="AD13" s="14">
        <f>IF(ISBLANK(National_Annual!AD12),"",IFERROR(IF(MAX(National_Annual!$F$12:$AD$12)=MIN(National_Annual!$F$12:$AD$12),0,(National_Annual!AD12-MIN(National_Annual!$F$12:$AD$12))/(MAX(National_Annual!$F$12:$AD$12)-MIN(National_Annual!$F$12:$AD$12))),""))</f>
        <v>0</v>
      </c>
    </row>
    <row r="14" spans="1:30" ht="15" customHeight="1">
      <c r="A14" s="7" t="s">
        <v>94</v>
      </c>
      <c r="B14" s="4" t="s">
        <v>95</v>
      </c>
      <c r="C14" s="4" t="s">
        <v>96</v>
      </c>
      <c r="D14" s="10" t="s">
        <v>75</v>
      </c>
      <c r="E14" s="10" t="s">
        <v>97</v>
      </c>
      <c r="F14" s="14">
        <f>IF(ISBLANK(National_Annual!F13),"",IFERROR(IF(MAX(National_Annual!$F$13:$AD$13)=MIN(National_Annual!$F$13:$AD$13),0,(MAX(National_Annual!$F$13:$AD$13)-National_Annual!F13)/(MAX(National_Annual!$F$13:$AD$13)-MIN(National_Annual!$F$13:$AD$13))),""))</f>
        <v>1</v>
      </c>
      <c r="G14" s="14">
        <f>IF(ISBLANK(National_Annual!G13),"",IFERROR(IF(MAX(National_Annual!$F$13:$AD$13)=MIN(National_Annual!$F$13:$AD$13),0,(MAX(National_Annual!$F$13:$AD$13)-National_Annual!G13)/(MAX(National_Annual!$F$13:$AD$13)-MIN(National_Annual!$F$13:$AD$13))),""))</f>
        <v>0.97548666186012978</v>
      </c>
      <c r="H14" s="14">
        <f>IF(ISBLANK(National_Annual!H13),"",IFERROR(IF(MAX(National_Annual!$F$13:$AD$13)=MIN(National_Annual!$F$13:$AD$13),0,(MAX(National_Annual!$F$13:$AD$13)-National_Annual!H13)/(MAX(National_Annual!$F$13:$AD$13)-MIN(National_Annual!$F$13:$AD$13))),""))</f>
        <v>0.95674116798846431</v>
      </c>
      <c r="I14" s="14">
        <f>IF(ISBLANK(National_Annual!I13),"",IFERROR(IF(MAX(National_Annual!$F$13:$AD$13)=MIN(National_Annual!$F$13:$AD$13),0,(MAX(National_Annual!$F$13:$AD$13)-National_Annual!I13)/(MAX(National_Annual!$F$13:$AD$13)-MIN(National_Annual!$F$13:$AD$13))),""))</f>
        <v>0.9178082191780822</v>
      </c>
      <c r="J14" s="14">
        <f>IF(ISBLANK(National_Annual!J13),"",IFERROR(IF(MAX(National_Annual!$F$13:$AD$13)=MIN(National_Annual!$F$13:$AD$13),0,(MAX(National_Annual!$F$13:$AD$13)-National_Annual!J13)/(MAX(National_Annual!$F$13:$AD$13)-MIN(National_Annual!$F$13:$AD$13))),""))</f>
        <v>0.88464311463590484</v>
      </c>
      <c r="K14" s="14">
        <f>IF(ISBLANK(National_Annual!K13),"",IFERROR(IF(MAX(National_Annual!$F$13:$AD$13)=MIN(National_Annual!$F$13:$AD$13),0,(MAX(National_Annual!$F$13:$AD$13)-National_Annual!K13)/(MAX(National_Annual!$F$13:$AD$13)-MIN(National_Annual!$F$13:$AD$13))),""))</f>
        <v>0.8615717375630858</v>
      </c>
      <c r="L14" s="14">
        <f>IF(ISBLANK(National_Annual!L13),"",IFERROR(IF(MAX(National_Annual!$F$13:$AD$13)=MIN(National_Annual!$F$13:$AD$13),0,(MAX(National_Annual!$F$13:$AD$13)-National_Annual!L13)/(MAX(National_Annual!$F$13:$AD$13)-MIN(National_Annual!$F$13:$AD$13))),""))</f>
        <v>0.82408074981975488</v>
      </c>
      <c r="M14" s="14">
        <f>IF(ISBLANK(National_Annual!M13),"",IFERROR(IF(MAX(National_Annual!$F$13:$AD$13)=MIN(National_Annual!$F$13:$AD$13),0,(MAX(National_Annual!$F$13:$AD$13)-National_Annual!M13)/(MAX(National_Annual!$F$13:$AD$13)-MIN(National_Annual!$F$13:$AD$13))),""))</f>
        <v>0.78370583994232157</v>
      </c>
      <c r="N14" s="14">
        <f>IF(ISBLANK(National_Annual!N13),"",IFERROR(IF(MAX(National_Annual!$F$13:$AD$13)=MIN(National_Annual!$F$13:$AD$13),0,(MAX(National_Annual!$F$13:$AD$13)-National_Annual!N13)/(MAX(National_Annual!$F$13:$AD$13)-MIN(National_Annual!$F$13:$AD$13))),""))</f>
        <v>0.73323720259552994</v>
      </c>
      <c r="O14" s="14">
        <f>IF(ISBLANK(National_Annual!O13),"",IFERROR(IF(MAX(National_Annual!$F$13:$AD$13)=MIN(National_Annual!$F$13:$AD$13),0,(MAX(National_Annual!$F$13:$AD$13)-National_Annual!O13)/(MAX(National_Annual!$F$13:$AD$13)-MIN(National_Annual!$F$13:$AD$13))),""))</f>
        <v>0.6971881759192502</v>
      </c>
      <c r="P14" s="14">
        <f>IF(ISBLANK(National_Annual!P13),"",IFERROR(IF(MAX(National_Annual!$F$13:$AD$13)=MIN(National_Annual!$F$13:$AD$13),0,(MAX(National_Annual!$F$13:$AD$13)-National_Annual!P13)/(MAX(National_Annual!$F$13:$AD$13)-MIN(National_Annual!$F$13:$AD$13))),""))</f>
        <v>0.66402307137707284</v>
      </c>
      <c r="Q14" s="14">
        <f>IF(ISBLANK(National_Annual!Q13),"",IFERROR(IF(MAX(National_Annual!$F$13:$AD$13)=MIN(National_Annual!$F$13:$AD$13),0,(MAX(National_Annual!$F$13:$AD$13)-National_Annual!Q13)/(MAX(National_Annual!$F$13:$AD$13)-MIN(National_Annual!$F$13:$AD$13))),""))</f>
        <v>0.62076423936553715</v>
      </c>
      <c r="R14" s="14">
        <f>IF(ISBLANK(National_Annual!R13),"",IFERROR(IF(MAX(National_Annual!$F$13:$AD$13)=MIN(National_Annual!$F$13:$AD$13),0,(MAX(National_Annual!$F$13:$AD$13)-National_Annual!R13)/(MAX(National_Annual!$F$13:$AD$13)-MIN(National_Annual!$F$13:$AD$13))),""))</f>
        <v>0.59048305695746217</v>
      </c>
      <c r="S14" s="14">
        <f>IF(ISBLANK(National_Annual!S13),"",IFERROR(IF(MAX(National_Annual!$F$13:$AD$13)=MIN(National_Annual!$F$13:$AD$13),0,(MAX(National_Annual!$F$13:$AD$13)-National_Annual!S13)/(MAX(National_Annual!$F$13:$AD$13)-MIN(National_Annual!$F$13:$AD$13))),""))</f>
        <v>0.54866618601297767</v>
      </c>
      <c r="T14" s="14">
        <f>IF(ISBLANK(National_Annual!T13),"",IFERROR(IF(MAX(National_Annual!$F$13:$AD$13)=MIN(National_Annual!$F$13:$AD$13),0,(MAX(National_Annual!$F$13:$AD$13)-National_Annual!T13)/(MAX(National_Annual!$F$13:$AD$13)-MIN(National_Annual!$F$13:$AD$13))),""))</f>
        <v>0.51261715933669794</v>
      </c>
      <c r="U14" s="14">
        <f>IF(ISBLANK(National_Annual!U13),"",IFERROR(IF(MAX(National_Annual!$F$13:$AD$13)=MIN(National_Annual!$F$13:$AD$13),0,(MAX(National_Annual!$F$13:$AD$13)-National_Annual!U13)/(MAX(National_Annual!$F$13:$AD$13)-MIN(National_Annual!$F$13:$AD$13))),""))</f>
        <v>0.47512617159336695</v>
      </c>
      <c r="V14" s="14">
        <f>IF(ISBLANK(National_Annual!V13),"",IFERROR(IF(MAX(National_Annual!$F$13:$AD$13)=MIN(National_Annual!$F$13:$AD$13),0,(MAX(National_Annual!$F$13:$AD$13)-National_Annual!V13)/(MAX(National_Annual!$F$13:$AD$13)-MIN(National_Annual!$F$13:$AD$13))),""))</f>
        <v>0.4405191059841384</v>
      </c>
      <c r="W14" s="14">
        <f>IF(ISBLANK(National_Annual!W13),"",IFERROR(IF(MAX(National_Annual!$F$13:$AD$13)=MIN(National_Annual!$F$13:$AD$13),0,(MAX(National_Annual!$F$13:$AD$13)-National_Annual!W13)/(MAX(National_Annual!$F$13:$AD$13)-MIN(National_Annual!$F$13:$AD$13))),""))</f>
        <v>0.40302811824080748</v>
      </c>
      <c r="X14" s="14">
        <f>IF(ISBLANK(National_Annual!X13),"",IFERROR(IF(MAX(National_Annual!$F$13:$AD$13)=MIN(National_Annual!$F$13:$AD$13),0,(MAX(National_Annual!$F$13:$AD$13)-National_Annual!X13)/(MAX(National_Annual!$F$13:$AD$13)-MIN(National_Annual!$F$13:$AD$13))),""))</f>
        <v>0.35976928622927179</v>
      </c>
      <c r="Y14" s="14">
        <f>IF(ISBLANK(National_Annual!Y13),"",IFERROR(IF(MAX(National_Annual!$F$13:$AD$13)=MIN(National_Annual!$F$13:$AD$13),0,(MAX(National_Annual!$F$13:$AD$13)-National_Annual!Y13)/(MAX(National_Annual!$F$13:$AD$13)-MIN(National_Annual!$F$13:$AD$13))),""))</f>
        <v>0.32083633741888967</v>
      </c>
      <c r="Z14" s="14">
        <f>IF(ISBLANK(National_Annual!Z13),"",IFERROR(IF(MAX(National_Annual!$F$13:$AD$13)=MIN(National_Annual!$F$13:$AD$13),0,(MAX(National_Annual!$F$13:$AD$13)-National_Annual!Z13)/(MAX(National_Annual!$F$13:$AD$13)-MIN(National_Annual!$F$13:$AD$13))),""))</f>
        <v>0.36986301369863012</v>
      </c>
      <c r="AA14" s="14">
        <f>IF(ISBLANK(National_Annual!AA13),"",IFERROR(IF(MAX(National_Annual!$F$13:$AD$13)=MIN(National_Annual!$F$13:$AD$13),0,(MAX(National_Annual!$F$13:$AD$13)-National_Annual!AA13)/(MAX(National_Annual!$F$13:$AD$13)-MIN(National_Annual!$F$13:$AD$13))),""))</f>
        <v>0.26459985580389328</v>
      </c>
      <c r="AB14" s="14">
        <f>IF(ISBLANK(National_Annual!AB13),"",IFERROR(IF(MAX(National_Annual!$F$13:$AD$13)=MIN(National_Annual!$F$13:$AD$13),0,(MAX(National_Annual!$F$13:$AD$13)-National_Annual!AB13)/(MAX(National_Annual!$F$13:$AD$13)-MIN(National_Annual!$F$13:$AD$13))),""))</f>
        <v>0.19394376351838499</v>
      </c>
      <c r="AC14" s="14">
        <f>IF(ISBLANK(National_Annual!AC13),"",IFERROR(IF(MAX(National_Annual!$F$13:$AD$13)=MIN(National_Annual!$F$13:$AD$13),0,(MAX(National_Annual!$F$13:$AD$13)-National_Annual!AC13)/(MAX(National_Annual!$F$13:$AD$13)-MIN(National_Annual!$F$13:$AD$13))),""))</f>
        <v>0.10021629416005767</v>
      </c>
      <c r="AD14" s="14">
        <f>IF(ISBLANK(National_Annual!AD13),"",IFERROR(IF(MAX(National_Annual!$F$13:$AD$13)=MIN(National_Annual!$F$13:$AD$13),0,(MAX(National_Annual!$F$13:$AD$13)-National_Annual!AD13)/(MAX(National_Annual!$F$13:$AD$13)-MIN(National_Annual!$F$13:$AD$13))),""))</f>
        <v>0</v>
      </c>
    </row>
    <row r="15" spans="1:30" ht="15" customHeight="1">
      <c r="A15" s="7" t="s">
        <v>98</v>
      </c>
      <c r="B15" s="4" t="s">
        <v>99</v>
      </c>
      <c r="C15" s="4" t="s">
        <v>100</v>
      </c>
      <c r="D15" s="10" t="s">
        <v>75</v>
      </c>
      <c r="E15" s="10" t="s">
        <v>97</v>
      </c>
      <c r="F15" s="14">
        <f>IF(ISBLANK(National_Annual!F14),"",IFERROR(IF(MAX(National_Annual!$F$14:$AD$14)=MIN(National_Annual!$F$14:$AD$14),0,(MAX(National_Annual!$F$14:$AD$14)-National_Annual!F14)/(MAX(National_Annual!$F$14:$AD$14)-MIN(National_Annual!$F$14:$AD$14))),""))</f>
        <v>1</v>
      </c>
      <c r="G15" s="14">
        <f>IF(ISBLANK(National_Annual!G14),"",IFERROR(IF(MAX(National_Annual!$F$14:$AD$14)=MIN(National_Annual!$F$14:$AD$14),0,(MAX(National_Annual!$F$14:$AD$14)-National_Annual!G14)/(MAX(National_Annual!$F$14:$AD$14)-MIN(National_Annual!$F$14:$AD$14))),""))</f>
        <v>0.94594594594594583</v>
      </c>
      <c r="H15" s="14">
        <f>IF(ISBLANK(National_Annual!H14),"",IFERROR(IF(MAX(National_Annual!$F$14:$AD$14)=MIN(National_Annual!$F$14:$AD$14),0,(MAX(National_Annual!$F$14:$AD$14)-National_Annual!H14)/(MAX(National_Annual!$F$14:$AD$14)-MIN(National_Annual!$F$14:$AD$14))),""))</f>
        <v>0.91891891891891886</v>
      </c>
      <c r="I15" s="14">
        <f>IF(ISBLANK(National_Annual!I14),"",IFERROR(IF(MAX(National_Annual!$F$14:$AD$14)=MIN(National_Annual!$F$14:$AD$14),0,(MAX(National_Annual!$F$14:$AD$14)-National_Annual!I14)/(MAX(National_Annual!$F$14:$AD$14)-MIN(National_Annual!$F$14:$AD$14))),""))</f>
        <v>0.86486486486486469</v>
      </c>
      <c r="J15" s="14">
        <f>IF(ISBLANK(National_Annual!J14),"",IFERROR(IF(MAX(National_Annual!$F$14:$AD$14)=MIN(National_Annual!$F$14:$AD$14),0,(MAX(National_Annual!$F$14:$AD$14)-National_Annual!J14)/(MAX(National_Annual!$F$14:$AD$14)-MIN(National_Annual!$F$14:$AD$14))),""))</f>
        <v>0.81081081081081119</v>
      </c>
      <c r="K15" s="14">
        <f>IF(ISBLANK(National_Annual!K14),"",IFERROR(IF(MAX(National_Annual!$F$14:$AD$14)=MIN(National_Annual!$F$14:$AD$14),0,(MAX(National_Annual!$F$14:$AD$14)-National_Annual!K14)/(MAX(National_Annual!$F$14:$AD$14)-MIN(National_Annual!$F$14:$AD$14))),""))</f>
        <v>0.75675675675675702</v>
      </c>
      <c r="L15" s="14">
        <f>IF(ISBLANK(National_Annual!L14),"",IFERROR(IF(MAX(National_Annual!$F$14:$AD$14)=MIN(National_Annual!$F$14:$AD$14),0,(MAX(National_Annual!$F$14:$AD$14)-National_Annual!L14)/(MAX(National_Annual!$F$14:$AD$14)-MIN(National_Annual!$F$14:$AD$14))),""))</f>
        <v>0.70270270270270296</v>
      </c>
      <c r="M15" s="14">
        <f>IF(ISBLANK(National_Annual!M14),"",IFERROR(IF(MAX(National_Annual!$F$14:$AD$14)=MIN(National_Annual!$F$14:$AD$14),0,(MAX(National_Annual!$F$14:$AD$14)-National_Annual!M14)/(MAX(National_Annual!$F$14:$AD$14)-MIN(National_Annual!$F$14:$AD$14))),""))</f>
        <v>0.6486486486486488</v>
      </c>
      <c r="N15" s="14">
        <f>IF(ISBLANK(National_Annual!N14),"",IFERROR(IF(MAX(National_Annual!$F$14:$AD$14)=MIN(National_Annual!$F$14:$AD$14),0,(MAX(National_Annual!$F$14:$AD$14)-National_Annual!N14)/(MAX(National_Annual!$F$14:$AD$14)-MIN(National_Annual!$F$14:$AD$14))),""))</f>
        <v>0.59459459459459474</v>
      </c>
      <c r="O15" s="14">
        <f>IF(ISBLANK(National_Annual!O14),"",IFERROR(IF(MAX(National_Annual!$F$14:$AD$14)=MIN(National_Annual!$F$14:$AD$14),0,(MAX(National_Annual!$F$14:$AD$14)-National_Annual!O14)/(MAX(National_Annual!$F$14:$AD$14)-MIN(National_Annual!$F$14:$AD$14))),""))</f>
        <v>0.54054054054054057</v>
      </c>
      <c r="P15" s="14">
        <f>IF(ISBLANK(National_Annual!P14),"",IFERROR(IF(MAX(National_Annual!$F$14:$AD$14)=MIN(National_Annual!$F$14:$AD$14),0,(MAX(National_Annual!$F$14:$AD$14)-National_Annual!P14)/(MAX(National_Annual!$F$14:$AD$14)-MIN(National_Annual!$F$14:$AD$14))),""))</f>
        <v>0.48648648648648646</v>
      </c>
      <c r="Q15" s="14">
        <f>IF(ISBLANK(National_Annual!Q14),"",IFERROR(IF(MAX(National_Annual!$F$14:$AD$14)=MIN(National_Annual!$F$14:$AD$14),0,(MAX(National_Annual!$F$14:$AD$14)-National_Annual!Q14)/(MAX(National_Annual!$F$14:$AD$14)-MIN(National_Annual!$F$14:$AD$14))),""))</f>
        <v>0.45945945945945943</v>
      </c>
      <c r="R15" s="14">
        <f>IF(ISBLANK(National_Annual!R14),"",IFERROR(IF(MAX(National_Annual!$F$14:$AD$14)=MIN(National_Annual!$F$14:$AD$14),0,(MAX(National_Annual!$F$14:$AD$14)-National_Annual!R14)/(MAX(National_Annual!$F$14:$AD$14)-MIN(National_Annual!$F$14:$AD$14))),""))</f>
        <v>0.40540540540540532</v>
      </c>
      <c r="S15" s="14">
        <f>IF(ISBLANK(National_Annual!S14),"",IFERROR(IF(MAX(National_Annual!$F$14:$AD$14)=MIN(National_Annual!$F$14:$AD$14),0,(MAX(National_Annual!$F$14:$AD$14)-National_Annual!S14)/(MAX(National_Annual!$F$14:$AD$14)-MIN(National_Annual!$F$14:$AD$14))),""))</f>
        <v>0.36216216216216202</v>
      </c>
      <c r="T15" s="14">
        <f>IF(ISBLANK(National_Annual!T14),"",IFERROR(IF(MAX(National_Annual!$F$14:$AD$14)=MIN(National_Annual!$F$14:$AD$14),0,(MAX(National_Annual!$F$14:$AD$14)-National_Annual!T14)/(MAX(National_Annual!$F$14:$AD$14)-MIN(National_Annual!$F$14:$AD$14))),""))</f>
        <v>0.32432432432432412</v>
      </c>
      <c r="U15" s="14">
        <f>IF(ISBLANK(National_Annual!U14),"",IFERROR(IF(MAX(National_Annual!$F$14:$AD$14)=MIN(National_Annual!$F$14:$AD$14),0,(MAX(National_Annual!$F$14:$AD$14)-National_Annual!U14)/(MAX(National_Annual!$F$14:$AD$14)-MIN(National_Annual!$F$14:$AD$14))),""))</f>
        <v>0.2594594594594592</v>
      </c>
      <c r="V15" s="14">
        <f>IF(ISBLANK(National_Annual!V14),"",IFERROR(IF(MAX(National_Annual!$F$14:$AD$14)=MIN(National_Annual!$F$14:$AD$14),0,(MAX(National_Annual!$F$14:$AD$14)-National_Annual!V14)/(MAX(National_Annual!$F$14:$AD$14)-MIN(National_Annual!$F$14:$AD$14))),""))</f>
        <v>0.2216216216216213</v>
      </c>
      <c r="W15" s="14">
        <f>IF(ISBLANK(National_Annual!W14),"",IFERROR(IF(MAX(National_Annual!$F$14:$AD$14)=MIN(National_Annual!$F$14:$AD$14),0,(MAX(National_Annual!$F$14:$AD$14)-National_Annual!W14)/(MAX(National_Annual!$F$14:$AD$14)-MIN(National_Annual!$F$14:$AD$14))),""))</f>
        <v>0.18378378378378341</v>
      </c>
      <c r="X15" s="14">
        <f>IF(ISBLANK(National_Annual!X14),"",IFERROR(IF(MAX(National_Annual!$F$14:$AD$14)=MIN(National_Annual!$F$14:$AD$14),0,(MAX(National_Annual!$F$14:$AD$14)-National_Annual!X14)/(MAX(National_Annual!$F$14:$AD$14)-MIN(National_Annual!$F$14:$AD$14))),""))</f>
        <v>0.15135135135135094</v>
      </c>
      <c r="Y15" s="14">
        <f>IF(ISBLANK(National_Annual!Y14),"",IFERROR(IF(MAX(National_Annual!$F$14:$AD$14)=MIN(National_Annual!$F$14:$AD$14),0,(MAX(National_Annual!$F$14:$AD$14)-National_Annual!Y14)/(MAX(National_Annual!$F$14:$AD$14)-MIN(National_Annual!$F$14:$AD$14))),""))</f>
        <v>0.12972972972972988</v>
      </c>
      <c r="Z15" s="14">
        <f>IF(ISBLANK(National_Annual!Z14),"",IFERROR(IF(MAX(National_Annual!$F$14:$AD$14)=MIN(National_Annual!$F$14:$AD$14),0,(MAX(National_Annual!$F$14:$AD$14)-National_Annual!Z14)/(MAX(National_Annual!$F$14:$AD$14)-MIN(National_Annual!$F$14:$AD$14))),""))</f>
        <v>0.15135135135135094</v>
      </c>
      <c r="AA15" s="14">
        <f>IF(ISBLANK(National_Annual!AA14),"",IFERROR(IF(MAX(National_Annual!$F$14:$AD$14)=MIN(National_Annual!$F$14:$AD$14),0,(MAX(National_Annual!$F$14:$AD$14)-National_Annual!AA14)/(MAX(National_Annual!$F$14:$AD$14)-MIN(National_Annual!$F$14:$AD$14))),""))</f>
        <v>9.1891891891892008E-2</v>
      </c>
      <c r="AB15" s="14">
        <f>IF(ISBLANK(National_Annual!AB14),"",IFERROR(IF(MAX(National_Annual!$F$14:$AD$14)=MIN(National_Annual!$F$14:$AD$14),0,(MAX(National_Annual!$F$14:$AD$14)-National_Annual!AB14)/(MAX(National_Annual!$F$14:$AD$14)-MIN(National_Annual!$F$14:$AD$14))),""))</f>
        <v>9.1891891891892008E-2</v>
      </c>
      <c r="AC15" s="14">
        <f>IF(ISBLANK(National_Annual!AC14),"",IFERROR(IF(MAX(National_Annual!$F$14:$AD$14)=MIN(National_Annual!$F$14:$AD$14),0,(MAX(National_Annual!$F$14:$AD$14)-National_Annual!AC14)/(MAX(National_Annual!$F$14:$AD$14)-MIN(National_Annual!$F$14:$AD$14))),""))</f>
        <v>2.702702702702706E-2</v>
      </c>
      <c r="AD15" s="14">
        <f>IF(ISBLANK(National_Annual!AD14),"",IFERROR(IF(MAX(National_Annual!$F$14:$AD$14)=MIN(National_Annual!$F$14:$AD$14),0,(MAX(National_Annual!$F$14:$AD$14)-National_Annual!AD14)/(MAX(National_Annual!$F$14:$AD$14)-MIN(National_Annual!$F$14:$AD$14))),""))</f>
        <v>0</v>
      </c>
    </row>
    <row r="16" spans="1:30" ht="15" customHeight="1">
      <c r="A16" s="7" t="s">
        <v>101</v>
      </c>
      <c r="B16" s="4" t="s">
        <v>102</v>
      </c>
      <c r="C16" s="4" t="s">
        <v>103</v>
      </c>
      <c r="D16" s="10" t="s">
        <v>75</v>
      </c>
      <c r="E16" s="10" t="s">
        <v>97</v>
      </c>
      <c r="F16" s="14">
        <f>IF(ISBLANK(National_Annual!F15),"",IFERROR(IF(MAX(National_Annual!$F$15:$AD$15)=MIN(National_Annual!$F$15:$AD$15),0,(MAX(National_Annual!$F$15:$AD$15)-National_Annual!F15)/(MAX(National_Annual!$F$15:$AD$15)-MIN(National_Annual!$F$15:$AD$15))),""))</f>
        <v>0</v>
      </c>
      <c r="G16" s="14">
        <f>IF(ISBLANK(National_Annual!G15),"",IFERROR(IF(MAX(National_Annual!$F$15:$AD$15)=MIN(National_Annual!$F$15:$AD$15),0,(MAX(National_Annual!$F$15:$AD$15)-National_Annual!G15)/(MAX(National_Annual!$F$15:$AD$15)-MIN(National_Annual!$F$15:$AD$15))),""))</f>
        <v>0.16666666666666666</v>
      </c>
      <c r="H16" s="14">
        <f>IF(ISBLANK(National_Annual!H15),"",IFERROR(IF(MAX(National_Annual!$F$15:$AD$15)=MIN(National_Annual!$F$15:$AD$15),0,(MAX(National_Annual!$F$15:$AD$15)-National_Annual!H15)/(MAX(National_Annual!$F$15:$AD$15)-MIN(National_Annual!$F$15:$AD$15))),""))</f>
        <v>0.33333333333333331</v>
      </c>
      <c r="I16" s="14">
        <f>IF(ISBLANK(National_Annual!I15),"",IFERROR(IF(MAX(National_Annual!$F$15:$AD$15)=MIN(National_Annual!$F$15:$AD$15),0,(MAX(National_Annual!$F$15:$AD$15)-National_Annual!I15)/(MAX(National_Annual!$F$15:$AD$15)-MIN(National_Annual!$F$15:$AD$15))),""))</f>
        <v>0.5</v>
      </c>
      <c r="J16" s="14">
        <f>IF(ISBLANK(National_Annual!J15),"",IFERROR(IF(MAX(National_Annual!$F$15:$AD$15)=MIN(National_Annual!$F$15:$AD$15),0,(MAX(National_Annual!$F$15:$AD$15)-National_Annual!J15)/(MAX(National_Annual!$F$15:$AD$15)-MIN(National_Annual!$F$15:$AD$15))),""))</f>
        <v>0.33333333333333331</v>
      </c>
      <c r="K16" s="14">
        <f>IF(ISBLANK(National_Annual!K15),"",IFERROR(IF(MAX(National_Annual!$F$15:$AD$15)=MIN(National_Annual!$F$15:$AD$15),0,(MAX(National_Annual!$F$15:$AD$15)-National_Annual!K15)/(MAX(National_Annual!$F$15:$AD$15)-MIN(National_Annual!$F$15:$AD$15))),""))</f>
        <v>0</v>
      </c>
      <c r="L16" s="14">
        <f>IF(ISBLANK(National_Annual!L15),"",IFERROR(IF(MAX(National_Annual!$F$15:$AD$15)=MIN(National_Annual!$F$15:$AD$15),0,(MAX(National_Annual!$F$15:$AD$15)-National_Annual!L15)/(MAX(National_Annual!$F$15:$AD$15)-MIN(National_Annual!$F$15:$AD$15))),""))</f>
        <v>0.16666666666666666</v>
      </c>
      <c r="M16" s="14">
        <f>IF(ISBLANK(National_Annual!M15),"",IFERROR(IF(MAX(National_Annual!$F$15:$AD$15)=MIN(National_Annual!$F$15:$AD$15),0,(MAX(National_Annual!$F$15:$AD$15)-National_Annual!M15)/(MAX(National_Annual!$F$15:$AD$15)-MIN(National_Annual!$F$15:$AD$15))),""))</f>
        <v>0.33333333333333331</v>
      </c>
      <c r="N16" s="14">
        <f>IF(ISBLANK(National_Annual!N15),"",IFERROR(IF(MAX(National_Annual!$F$15:$AD$15)=MIN(National_Annual!$F$15:$AD$15),0,(MAX(National_Annual!$F$15:$AD$15)-National_Annual!N15)/(MAX(National_Annual!$F$15:$AD$15)-MIN(National_Annual!$F$15:$AD$15))),""))</f>
        <v>0.33333333333333331</v>
      </c>
      <c r="O16" s="14">
        <f>IF(ISBLANK(National_Annual!O15),"",IFERROR(IF(MAX(National_Annual!$F$15:$AD$15)=MIN(National_Annual!$F$15:$AD$15),0,(MAX(National_Annual!$F$15:$AD$15)-National_Annual!O15)/(MAX(National_Annual!$F$15:$AD$15)-MIN(National_Annual!$F$15:$AD$15))),""))</f>
        <v>0.5</v>
      </c>
      <c r="P16" s="14">
        <f>IF(ISBLANK(National_Annual!P15),"",IFERROR(IF(MAX(National_Annual!$F$15:$AD$15)=MIN(National_Annual!$F$15:$AD$15),0,(MAX(National_Annual!$F$15:$AD$15)-National_Annual!P15)/(MAX(National_Annual!$F$15:$AD$15)-MIN(National_Annual!$F$15:$AD$15))),""))</f>
        <v>0.83333333333333337</v>
      </c>
      <c r="Q16" s="14">
        <f>IF(ISBLANK(National_Annual!Q15),"",IFERROR(IF(MAX(National_Annual!$F$15:$AD$15)=MIN(National_Annual!$F$15:$AD$15),0,(MAX(National_Annual!$F$15:$AD$15)-National_Annual!Q15)/(MAX(National_Annual!$F$15:$AD$15)-MIN(National_Annual!$F$15:$AD$15))),""))</f>
        <v>1</v>
      </c>
      <c r="R16" s="14">
        <f>IF(ISBLANK(National_Annual!R15),"",IFERROR(IF(MAX(National_Annual!$F$15:$AD$15)=MIN(National_Annual!$F$15:$AD$15),0,(MAX(National_Annual!$F$15:$AD$15)-National_Annual!R15)/(MAX(National_Annual!$F$15:$AD$15)-MIN(National_Annual!$F$15:$AD$15))),""))</f>
        <v>0.83333333333333337</v>
      </c>
      <c r="S16" s="14">
        <f>IF(ISBLANK(National_Annual!S15),"",IFERROR(IF(MAX(National_Annual!$F$15:$AD$15)=MIN(National_Annual!$F$15:$AD$15),0,(MAX(National_Annual!$F$15:$AD$15)-National_Annual!S15)/(MAX(National_Annual!$F$15:$AD$15)-MIN(National_Annual!$F$15:$AD$15))),""))</f>
        <v>0.83333333333333337</v>
      </c>
      <c r="T16" s="14">
        <f>IF(ISBLANK(National_Annual!T15),"",IFERROR(IF(MAX(National_Annual!$F$15:$AD$15)=MIN(National_Annual!$F$15:$AD$15),0,(MAX(National_Annual!$F$15:$AD$15)-National_Annual!T15)/(MAX(National_Annual!$F$15:$AD$15)-MIN(National_Annual!$F$15:$AD$15))),""))</f>
        <v>0.66666666666666663</v>
      </c>
      <c r="U16" s="14">
        <f>IF(ISBLANK(National_Annual!U15),"",IFERROR(IF(MAX(National_Annual!$F$15:$AD$15)=MIN(National_Annual!$F$15:$AD$15),0,(MAX(National_Annual!$F$15:$AD$15)-National_Annual!U15)/(MAX(National_Annual!$F$15:$AD$15)-MIN(National_Annual!$F$15:$AD$15))),""))</f>
        <v>0.83333333333333337</v>
      </c>
      <c r="V16" s="14">
        <f>IF(ISBLANK(National_Annual!V15),"",IFERROR(IF(MAX(National_Annual!$F$15:$AD$15)=MIN(National_Annual!$F$15:$AD$15),0,(MAX(National_Annual!$F$15:$AD$15)-National_Annual!V15)/(MAX(National_Annual!$F$15:$AD$15)-MIN(National_Annual!$F$15:$AD$15))),""))</f>
        <v>0.66666666666666663</v>
      </c>
      <c r="W16" s="14">
        <f>IF(ISBLANK(National_Annual!W15),"",IFERROR(IF(MAX(National_Annual!$F$15:$AD$15)=MIN(National_Annual!$F$15:$AD$15),0,(MAX(National_Annual!$F$15:$AD$15)-National_Annual!W15)/(MAX(National_Annual!$F$15:$AD$15)-MIN(National_Annual!$F$15:$AD$15))),""))</f>
        <v>0.66666666666666663</v>
      </c>
      <c r="X16" s="14">
        <f>IF(ISBLANK(National_Annual!X15),"",IFERROR(IF(MAX(National_Annual!$F$15:$AD$15)=MIN(National_Annual!$F$15:$AD$15),0,(MAX(National_Annual!$F$15:$AD$15)-National_Annual!X15)/(MAX(National_Annual!$F$15:$AD$15)-MIN(National_Annual!$F$15:$AD$15))),""))</f>
        <v>0.5</v>
      </c>
      <c r="Y16" s="14">
        <f>IF(ISBLANK(National_Annual!Y15),"",IFERROR(IF(MAX(National_Annual!$F$15:$AD$15)=MIN(National_Annual!$F$15:$AD$15),0,(MAX(National_Annual!$F$15:$AD$15)-National_Annual!Y15)/(MAX(National_Annual!$F$15:$AD$15)-MIN(National_Annual!$F$15:$AD$15))),""))</f>
        <v>0.5</v>
      </c>
      <c r="Z16" s="14">
        <f>IF(ISBLANK(National_Annual!Z15),"",IFERROR(IF(MAX(National_Annual!$F$15:$AD$15)=MIN(National_Annual!$F$15:$AD$15),0,(MAX(National_Annual!$F$15:$AD$15)-National_Annual!Z15)/(MAX(National_Annual!$F$15:$AD$15)-MIN(National_Annual!$F$15:$AD$15))),""))</f>
        <v>0.33333333333333331</v>
      </c>
      <c r="AA16" s="14">
        <f>IF(ISBLANK(National_Annual!AA15),"",IFERROR(IF(MAX(National_Annual!$F$15:$AD$15)=MIN(National_Annual!$F$15:$AD$15),0,(MAX(National_Annual!$F$15:$AD$15)-National_Annual!AA15)/(MAX(National_Annual!$F$15:$AD$15)-MIN(National_Annual!$F$15:$AD$15))),""))</f>
        <v>0.16666666666666666</v>
      </c>
      <c r="AB16" s="14">
        <f>IF(ISBLANK(National_Annual!AB15),"",IFERROR(IF(MAX(National_Annual!$F$15:$AD$15)=MIN(National_Annual!$F$15:$AD$15),0,(MAX(National_Annual!$F$15:$AD$15)-National_Annual!AB15)/(MAX(National_Annual!$F$15:$AD$15)-MIN(National_Annual!$F$15:$AD$15))),""))</f>
        <v>0.16666666666666666</v>
      </c>
      <c r="AC16" s="14">
        <f>IF(ISBLANK(National_Annual!AC15),"",IFERROR(IF(MAX(National_Annual!$F$15:$AD$15)=MIN(National_Annual!$F$15:$AD$15),0,(MAX(National_Annual!$F$15:$AD$15)-National_Annual!AC15)/(MAX(National_Annual!$F$15:$AD$15)-MIN(National_Annual!$F$15:$AD$15))),""))</f>
        <v>0</v>
      </c>
      <c r="AD16" s="14">
        <f>IF(ISBLANK(National_Annual!AD15),"",IFERROR(IF(MAX(National_Annual!$F$15:$AD$15)=MIN(National_Annual!$F$15:$AD$15),0,(MAX(National_Annual!$F$15:$AD$15)-National_Annual!AD15)/(MAX(National_Annual!$F$15:$AD$15)-MIN(National_Annual!$F$15:$AD$15))),""))</f>
        <v>0</v>
      </c>
    </row>
    <row r="17" spans="1:30" ht="15" customHeight="1">
      <c r="A17" s="7" t="s">
        <v>104</v>
      </c>
      <c r="B17" s="4" t="s">
        <v>105</v>
      </c>
      <c r="C17" s="4" t="s">
        <v>106</v>
      </c>
      <c r="D17" s="10" t="s">
        <v>75</v>
      </c>
      <c r="E17" s="10" t="s">
        <v>107</v>
      </c>
      <c r="F17" s="14">
        <f>IF(ISBLANK(National_Annual!F16),"",IFERROR(IF(MAX(National_Annual!$F$16:$AD$16)=MIN(National_Annual!$F$16:$AD$16),0,(MAX(National_Annual!$F$16:$AD$16)-National_Annual!F16)/(MAX(National_Annual!$F$16:$AD$16)-MIN(National_Annual!$F$16:$AD$16))),""))</f>
        <v>1</v>
      </c>
      <c r="G17" s="14">
        <f>IF(ISBLANK(National_Annual!G16),"",IFERROR(IF(MAX(National_Annual!$F$16:$AD$16)=MIN(National_Annual!$F$16:$AD$16),0,(MAX(National_Annual!$F$16:$AD$16)-National_Annual!G16)/(MAX(National_Annual!$F$16:$AD$16)-MIN(National_Annual!$F$16:$AD$16))),""))</f>
        <v>0.99222222222222223</v>
      </c>
      <c r="H17" s="14">
        <f>IF(ISBLANK(National_Annual!H16),"",IFERROR(IF(MAX(National_Annual!$F$16:$AD$16)=MIN(National_Annual!$F$16:$AD$16),0,(MAX(National_Annual!$F$16:$AD$16)-National_Annual!H16)/(MAX(National_Annual!$F$16:$AD$16)-MIN(National_Annual!$F$16:$AD$16))),""))</f>
        <v>0.98111111111111104</v>
      </c>
      <c r="I17" s="14">
        <f>IF(ISBLANK(National_Annual!I16),"",IFERROR(IF(MAX(National_Annual!$F$16:$AD$16)=MIN(National_Annual!$F$16:$AD$16),0,(MAX(National_Annual!$F$16:$AD$16)-National_Annual!I16)/(MAX(National_Annual!$F$16:$AD$16)-MIN(National_Annual!$F$16:$AD$16))),""))</f>
        <v>0.97</v>
      </c>
      <c r="J17" s="14">
        <f>IF(ISBLANK(National_Annual!J16),"",IFERROR(IF(MAX(National_Annual!$F$16:$AD$16)=MIN(National_Annual!$F$16:$AD$16),0,(MAX(National_Annual!$F$16:$AD$16)-National_Annual!J16)/(MAX(National_Annual!$F$16:$AD$16)-MIN(National_Annual!$F$16:$AD$16))),""))</f>
        <v>0.87888888888888894</v>
      </c>
      <c r="K17" s="14">
        <f>IF(ISBLANK(National_Annual!K16),"",IFERROR(IF(MAX(National_Annual!$F$16:$AD$16)=MIN(National_Annual!$F$16:$AD$16),0,(MAX(National_Annual!$F$16:$AD$16)-National_Annual!K16)/(MAX(National_Annual!$F$16:$AD$16)-MIN(National_Annual!$F$16:$AD$16))),""))</f>
        <v>0.84111111111111114</v>
      </c>
      <c r="L17" s="14">
        <f>IF(ISBLANK(National_Annual!L16),"",IFERROR(IF(MAX(National_Annual!$F$16:$AD$16)=MIN(National_Annual!$F$16:$AD$16),0,(MAX(National_Annual!$F$16:$AD$16)-National_Annual!L16)/(MAX(National_Annual!$F$16:$AD$16)-MIN(National_Annual!$F$16:$AD$16))),""))</f>
        <v>0.7911111111111111</v>
      </c>
      <c r="M17" s="14">
        <f>IF(ISBLANK(National_Annual!M16),"",IFERROR(IF(MAX(National_Annual!$F$16:$AD$16)=MIN(National_Annual!$F$16:$AD$16),0,(MAX(National_Annual!$F$16:$AD$16)-National_Annual!M16)/(MAX(National_Annual!$F$16:$AD$16)-MIN(National_Annual!$F$16:$AD$16))),""))</f>
        <v>0.76888888888888896</v>
      </c>
      <c r="N17" s="14">
        <f>IF(ISBLANK(National_Annual!N16),"",IFERROR(IF(MAX(National_Annual!$F$16:$AD$16)=MIN(National_Annual!$F$16:$AD$16),0,(MAX(National_Annual!$F$16:$AD$16)-National_Annual!N16)/(MAX(National_Annual!$F$16:$AD$16)-MIN(National_Annual!$F$16:$AD$16))),""))</f>
        <v>0.64</v>
      </c>
      <c r="O17" s="14">
        <f>IF(ISBLANK(National_Annual!O16),"",IFERROR(IF(MAX(National_Annual!$F$16:$AD$16)=MIN(National_Annual!$F$16:$AD$16),0,(MAX(National_Annual!$F$16:$AD$16)-National_Annual!O16)/(MAX(National_Annual!$F$16:$AD$16)-MIN(National_Annual!$F$16:$AD$16))),""))</f>
        <v>0.54888888888888898</v>
      </c>
      <c r="P17" s="14">
        <f>IF(ISBLANK(National_Annual!P16),"",IFERROR(IF(MAX(National_Annual!$F$16:$AD$16)=MIN(National_Annual!$F$16:$AD$16),0,(MAX(National_Annual!$F$16:$AD$16)-National_Annual!P16)/(MAX(National_Annual!$F$16:$AD$16)-MIN(National_Annual!$F$16:$AD$16))),""))</f>
        <v>0.43000000000000005</v>
      </c>
      <c r="Q17" s="14">
        <f>IF(ISBLANK(National_Annual!Q16),"",IFERROR(IF(MAX(National_Annual!$F$16:$AD$16)=MIN(National_Annual!$F$16:$AD$16),0,(MAX(National_Annual!$F$16:$AD$16)-National_Annual!Q16)/(MAX(National_Annual!$F$16:$AD$16)-MIN(National_Annual!$F$16:$AD$16))),""))</f>
        <v>0.41888888888888892</v>
      </c>
      <c r="R17" s="14">
        <f>IF(ISBLANK(National_Annual!R16),"",IFERROR(IF(MAX(National_Annual!$F$16:$AD$16)=MIN(National_Annual!$F$16:$AD$16),0,(MAX(National_Annual!$F$16:$AD$16)-National_Annual!R16)/(MAX(National_Annual!$F$16:$AD$16)-MIN(National_Annual!$F$16:$AD$16))),""))</f>
        <v>0.39666666666666672</v>
      </c>
      <c r="S17" s="14">
        <f>IF(ISBLANK(National_Annual!S16),"",IFERROR(IF(MAX(National_Annual!$F$16:$AD$16)=MIN(National_Annual!$F$16:$AD$16),0,(MAX(National_Annual!$F$16:$AD$16)-National_Annual!S16)/(MAX(National_Annual!$F$16:$AD$16)-MIN(National_Annual!$F$16:$AD$16))),""))</f>
        <v>0.3855555555555556</v>
      </c>
      <c r="T17" s="14">
        <f>IF(ISBLANK(National_Annual!T16),"",IFERROR(IF(MAX(National_Annual!$F$16:$AD$16)=MIN(National_Annual!$F$16:$AD$16),0,(MAX(National_Annual!$F$16:$AD$16)-National_Annual!T16)/(MAX(National_Annual!$F$16:$AD$16)-MIN(National_Annual!$F$16:$AD$16))),""))</f>
        <v>0.37666666666666671</v>
      </c>
      <c r="U17" s="14">
        <f>IF(ISBLANK(National_Annual!U16),"",IFERROR(IF(MAX(National_Annual!$F$16:$AD$16)=MIN(National_Annual!$F$16:$AD$16),0,(MAX(National_Annual!$F$16:$AD$16)-National_Annual!U16)/(MAX(National_Annual!$F$16:$AD$16)-MIN(National_Annual!$F$16:$AD$16))),""))</f>
        <v>0.37333333333333335</v>
      </c>
      <c r="V17" s="14">
        <f>IF(ISBLANK(National_Annual!V16),"",IFERROR(IF(MAX(National_Annual!$F$16:$AD$16)=MIN(National_Annual!$F$16:$AD$16),0,(MAX(National_Annual!$F$16:$AD$16)-National_Annual!V16)/(MAX(National_Annual!$F$16:$AD$16)-MIN(National_Annual!$F$16:$AD$16))),""))</f>
        <v>0.36000000000000004</v>
      </c>
      <c r="W17" s="14">
        <f>IF(ISBLANK(National_Annual!W16),"",IFERROR(IF(MAX(National_Annual!$F$16:$AD$16)=MIN(National_Annual!$F$16:$AD$16),0,(MAX(National_Annual!$F$16:$AD$16)-National_Annual!W16)/(MAX(National_Annual!$F$16:$AD$16)-MIN(National_Annual!$F$16:$AD$16))),""))</f>
        <v>0.32111111111111118</v>
      </c>
      <c r="X17" s="14">
        <f>IF(ISBLANK(National_Annual!X16),"",IFERROR(IF(MAX(National_Annual!$F$16:$AD$16)=MIN(National_Annual!$F$16:$AD$16),0,(MAX(National_Annual!$F$16:$AD$16)-National_Annual!X16)/(MAX(National_Annual!$F$16:$AD$16)-MIN(National_Annual!$F$16:$AD$16))),""))</f>
        <v>0.28777777777777785</v>
      </c>
      <c r="Y17" s="14">
        <f>IF(ISBLANK(National_Annual!Y16),"",IFERROR(IF(MAX(National_Annual!$F$16:$AD$16)=MIN(National_Annual!$F$16:$AD$16),0,(MAX(National_Annual!$F$16:$AD$16)-National_Annual!Y16)/(MAX(National_Annual!$F$16:$AD$16)-MIN(National_Annual!$F$16:$AD$16))),""))</f>
        <v>0.18111111111111108</v>
      </c>
      <c r="Z17" s="14">
        <f>IF(ISBLANK(National_Annual!Z16),"",IFERROR(IF(MAX(National_Annual!$F$16:$AD$16)=MIN(National_Annual!$F$16:$AD$16),0,(MAX(National_Annual!$F$16:$AD$16)-National_Annual!Z16)/(MAX(National_Annual!$F$16:$AD$16)-MIN(National_Annual!$F$16:$AD$16))),""))</f>
        <v>7.3333333333333431E-2</v>
      </c>
      <c r="AA17" s="14">
        <f>IF(ISBLANK(National_Annual!AA16),"",IFERROR(IF(MAX(National_Annual!$F$16:$AD$16)=MIN(National_Annual!$F$16:$AD$16),0,(MAX(National_Annual!$F$16:$AD$16)-National_Annual!AA16)/(MAX(National_Annual!$F$16:$AD$16)-MIN(National_Annual!$F$16:$AD$16))),""))</f>
        <v>2.8888888888888985E-2</v>
      </c>
      <c r="AB17" s="14">
        <f>IF(ISBLANK(National_Annual!AB16),"",IFERROR(IF(MAX(National_Annual!$F$16:$AD$16)=MIN(National_Annual!$F$16:$AD$16),0,(MAX(National_Annual!$F$16:$AD$16)-National_Annual!AB16)/(MAX(National_Annual!$F$16:$AD$16)-MIN(National_Annual!$F$16:$AD$16))),""))</f>
        <v>2.8888888888888985E-2</v>
      </c>
      <c r="AC17" s="14">
        <f>IF(ISBLANK(National_Annual!AC16),"",IFERROR(IF(MAX(National_Annual!$F$16:$AD$16)=MIN(National_Annual!$F$16:$AD$16),0,(MAX(National_Annual!$F$16:$AD$16)-National_Annual!AC16)/(MAX(National_Annual!$F$16:$AD$16)-MIN(National_Annual!$F$16:$AD$16))),""))</f>
        <v>1.5555555555555619E-2</v>
      </c>
      <c r="AD17" s="14">
        <f>IF(ISBLANK(National_Annual!AD16),"",IFERROR(IF(MAX(National_Annual!$F$16:$AD$16)=MIN(National_Annual!$F$16:$AD$16),0,(MAX(National_Annual!$F$16:$AD$16)-National_Annual!AD16)/(MAX(National_Annual!$F$16:$AD$16)-MIN(National_Annual!$F$16:$AD$16))),""))</f>
        <v>0</v>
      </c>
    </row>
    <row r="18" spans="1:30" ht="15" customHeight="1">
      <c r="A18" s="7" t="s">
        <v>108</v>
      </c>
      <c r="B18" s="4" t="s">
        <v>109</v>
      </c>
      <c r="C18" s="4" t="s">
        <v>110</v>
      </c>
      <c r="D18" s="10" t="s">
        <v>75</v>
      </c>
      <c r="E18" s="10" t="s">
        <v>107</v>
      </c>
      <c r="F18" s="14">
        <f>IF(ISBLANK(National_Annual!F17),"",IFERROR(IF(MAX(National_Annual!$F$17:$AD$17)=MIN(National_Annual!$F$17:$AD$17),0,(MAX(National_Annual!$F$17:$AD$17)-National_Annual!F17)/(MAX(National_Annual!$F$17:$AD$17)-MIN(National_Annual!$F$17:$AD$17))),""))</f>
        <v>1</v>
      </c>
      <c r="G18" s="14">
        <f>IF(ISBLANK(National_Annual!G17),"",IFERROR(IF(MAX(National_Annual!$F$17:$AD$17)=MIN(National_Annual!$F$17:$AD$17),0,(MAX(National_Annual!$F$17:$AD$17)-National_Annual!G17)/(MAX(National_Annual!$F$17:$AD$17)-MIN(National_Annual!$F$17:$AD$17))),""))</f>
        <v>0.94460431654676269</v>
      </c>
      <c r="H18" s="14">
        <f>IF(ISBLANK(National_Annual!H17),"",IFERROR(IF(MAX(National_Annual!$F$17:$AD$17)=MIN(National_Annual!$F$17:$AD$17),0,(MAX(National_Annual!$F$17:$AD$17)-National_Annual!H17)/(MAX(National_Annual!$F$17:$AD$17)-MIN(National_Annual!$F$17:$AD$17))),""))</f>
        <v>0.90647482014388492</v>
      </c>
      <c r="I18" s="14">
        <f>IF(ISBLANK(National_Annual!I17),"",IFERROR(IF(MAX(National_Annual!$F$17:$AD$17)=MIN(National_Annual!$F$17:$AD$17),0,(MAX(National_Annual!$F$17:$AD$17)-National_Annual!I17)/(MAX(National_Annual!$F$17:$AD$17)-MIN(National_Annual!$F$17:$AD$17))),""))</f>
        <v>0.87769784172661869</v>
      </c>
      <c r="J18" s="14">
        <f>IF(ISBLANK(National_Annual!J17),"",IFERROR(IF(MAX(National_Annual!$F$17:$AD$17)=MIN(National_Annual!$F$17:$AD$17),0,(MAX(National_Annual!$F$17:$AD$17)-National_Annual!J17)/(MAX(National_Annual!$F$17:$AD$17)-MIN(National_Annual!$F$17:$AD$17))),""))</f>
        <v>0.83021582733812949</v>
      </c>
      <c r="K18" s="14">
        <f>IF(ISBLANK(National_Annual!K17),"",IFERROR(IF(MAX(National_Annual!$F$17:$AD$17)=MIN(National_Annual!$F$17:$AD$17),0,(MAX(National_Annual!$F$17:$AD$17)-National_Annual!K17)/(MAX(National_Annual!$F$17:$AD$17)-MIN(National_Annual!$F$17:$AD$17))),""))</f>
        <v>0.76258992805755399</v>
      </c>
      <c r="L18" s="14">
        <f>IF(ISBLANK(National_Annual!L17),"",IFERROR(IF(MAX(National_Annual!$F$17:$AD$17)=MIN(National_Annual!$F$17:$AD$17),0,(MAX(National_Annual!$F$17:$AD$17)-National_Annual!L17)/(MAX(National_Annual!$F$17:$AD$17)-MIN(National_Annual!$F$17:$AD$17))),""))</f>
        <v>0.67625899280575541</v>
      </c>
      <c r="M18" s="14">
        <f>IF(ISBLANK(National_Annual!M17),"",IFERROR(IF(MAX(National_Annual!$F$17:$AD$17)=MIN(National_Annual!$F$17:$AD$17),0,(MAX(National_Annual!$F$17:$AD$17)-National_Annual!M17)/(MAX(National_Annual!$F$17:$AD$17)-MIN(National_Annual!$F$17:$AD$17))),""))</f>
        <v>0.5611510791366906</v>
      </c>
      <c r="N18" s="14">
        <f>IF(ISBLANK(National_Annual!N17),"",IFERROR(IF(MAX(National_Annual!$F$17:$AD$17)=MIN(National_Annual!$F$17:$AD$17),0,(MAX(National_Annual!$F$17:$AD$17)-National_Annual!N17)/(MAX(National_Annual!$F$17:$AD$17)-MIN(National_Annual!$F$17:$AD$17))),""))</f>
        <v>0.52517985611510787</v>
      </c>
      <c r="O18" s="14">
        <f>IF(ISBLANK(National_Annual!O17),"",IFERROR(IF(MAX(National_Annual!$F$17:$AD$17)=MIN(National_Annual!$F$17:$AD$17),0,(MAX(National_Annual!$F$17:$AD$17)-National_Annual!O17)/(MAX(National_Annual!$F$17:$AD$17)-MIN(National_Annual!$F$17:$AD$17))),""))</f>
        <v>0.48920863309352519</v>
      </c>
      <c r="P18" s="14">
        <f>IF(ISBLANK(National_Annual!P17),"",IFERROR(IF(MAX(National_Annual!$F$17:$AD$17)=MIN(National_Annual!$F$17:$AD$17),0,(MAX(National_Annual!$F$17:$AD$17)-National_Annual!P17)/(MAX(National_Annual!$F$17:$AD$17)-MIN(National_Annual!$F$17:$AD$17))),""))</f>
        <v>0.33093525179856115</v>
      </c>
      <c r="Q18" s="14">
        <f>IF(ISBLANK(National_Annual!Q17),"",IFERROR(IF(MAX(National_Annual!$F$17:$AD$17)=MIN(National_Annual!$F$17:$AD$17),0,(MAX(National_Annual!$F$17:$AD$17)-National_Annual!Q17)/(MAX(National_Annual!$F$17:$AD$17)-MIN(National_Annual!$F$17:$AD$17))),""))</f>
        <v>0.2446043165467626</v>
      </c>
      <c r="R18" s="14">
        <f>IF(ISBLANK(National_Annual!R17),"",IFERROR(IF(MAX(National_Annual!$F$17:$AD$17)=MIN(National_Annual!$F$17:$AD$17),0,(MAX(National_Annual!$F$17:$AD$17)-National_Annual!R17)/(MAX(National_Annual!$F$17:$AD$17)-MIN(National_Annual!$F$17:$AD$17))),""))</f>
        <v>0.19424460431654678</v>
      </c>
      <c r="S18" s="14">
        <f>IF(ISBLANK(National_Annual!S17),"",IFERROR(IF(MAX(National_Annual!$F$17:$AD$17)=MIN(National_Annual!$F$17:$AD$17),0,(MAX(National_Annual!$F$17:$AD$17)-National_Annual!S17)/(MAX(National_Annual!$F$17:$AD$17)-MIN(National_Annual!$F$17:$AD$17))),""))</f>
        <v>0.12949640287769784</v>
      </c>
      <c r="T18" s="14">
        <f>IF(ISBLANK(National_Annual!T17),"",IFERROR(IF(MAX(National_Annual!$F$17:$AD$17)=MIN(National_Annual!$F$17:$AD$17),0,(MAX(National_Annual!$F$17:$AD$17)-National_Annual!T17)/(MAX(National_Annual!$F$17:$AD$17)-MIN(National_Annual!$F$17:$AD$17))),""))</f>
        <v>0.10071942446043165</v>
      </c>
      <c r="U18" s="14">
        <f>IF(ISBLANK(National_Annual!U17),"",IFERROR(IF(MAX(National_Annual!$F$17:$AD$17)=MIN(National_Annual!$F$17:$AD$17),0,(MAX(National_Annual!$F$17:$AD$17)-National_Annual!U17)/(MAX(National_Annual!$F$17:$AD$17)-MIN(National_Annual!$F$17:$AD$17))),""))</f>
        <v>0.14388489208633093</v>
      </c>
      <c r="V18" s="14">
        <f>IF(ISBLANK(National_Annual!V17),"",IFERROR(IF(MAX(National_Annual!$F$17:$AD$17)=MIN(National_Annual!$F$17:$AD$17),0,(MAX(National_Annual!$F$17:$AD$17)-National_Annual!V17)/(MAX(National_Annual!$F$17:$AD$17)-MIN(National_Annual!$F$17:$AD$17))),""))</f>
        <v>0.19424460431654678</v>
      </c>
      <c r="W18" s="14">
        <f>IF(ISBLANK(National_Annual!W17),"",IFERROR(IF(MAX(National_Annual!$F$17:$AD$17)=MIN(National_Annual!$F$17:$AD$17),0,(MAX(National_Annual!$F$17:$AD$17)-National_Annual!W17)/(MAX(National_Annual!$F$17:$AD$17)-MIN(National_Annual!$F$17:$AD$17))),""))</f>
        <v>0.16546762589928057</v>
      </c>
      <c r="X18" s="14">
        <f>IF(ISBLANK(National_Annual!X17),"",IFERROR(IF(MAX(National_Annual!$F$17:$AD$17)=MIN(National_Annual!$F$17:$AD$17),0,(MAX(National_Annual!$F$17:$AD$17)-National_Annual!X17)/(MAX(National_Annual!$F$17:$AD$17)-MIN(National_Annual!$F$17:$AD$17))),""))</f>
        <v>0.16546762589928057</v>
      </c>
      <c r="Y18" s="14">
        <f>IF(ISBLANK(National_Annual!Y17),"",IFERROR(IF(MAX(National_Annual!$F$17:$AD$17)=MIN(National_Annual!$F$17:$AD$17),0,(MAX(National_Annual!$F$17:$AD$17)-National_Annual!Y17)/(MAX(National_Annual!$F$17:$AD$17)-MIN(National_Annual!$F$17:$AD$17))),""))</f>
        <v>0.1366906474820144</v>
      </c>
      <c r="Z18" s="14">
        <f>IF(ISBLANK(National_Annual!Z17),"",IFERROR(IF(MAX(National_Annual!$F$17:$AD$17)=MIN(National_Annual!$F$17:$AD$17),0,(MAX(National_Annual!$F$17:$AD$17)-National_Annual!Z17)/(MAX(National_Annual!$F$17:$AD$17)-MIN(National_Annual!$F$17:$AD$17))),""))</f>
        <v>7.1942446043165464E-2</v>
      </c>
      <c r="AA18" s="14">
        <f>IF(ISBLANK(National_Annual!AA17),"",IFERROR(IF(MAX(National_Annual!$F$17:$AD$17)=MIN(National_Annual!$F$17:$AD$17),0,(MAX(National_Annual!$F$17:$AD$17)-National_Annual!AA17)/(MAX(National_Annual!$F$17:$AD$17)-MIN(National_Annual!$F$17:$AD$17))),""))</f>
        <v>5.0359712230215826E-2</v>
      </c>
      <c r="AB18" s="14">
        <f>IF(ISBLANK(National_Annual!AB17),"",IFERROR(IF(MAX(National_Annual!$F$17:$AD$17)=MIN(National_Annual!$F$17:$AD$17),0,(MAX(National_Annual!$F$17:$AD$17)-National_Annual!AB17)/(MAX(National_Annual!$F$17:$AD$17)-MIN(National_Annual!$F$17:$AD$17))),""))</f>
        <v>3.5971223021582732E-2</v>
      </c>
      <c r="AC18" s="14">
        <f>IF(ISBLANK(National_Annual!AC17),"",IFERROR(IF(MAX(National_Annual!$F$17:$AD$17)=MIN(National_Annual!$F$17:$AD$17),0,(MAX(National_Annual!$F$17:$AD$17)-National_Annual!AC17)/(MAX(National_Annual!$F$17:$AD$17)-MIN(National_Annual!$F$17:$AD$17))),""))</f>
        <v>1.4388489208633094E-2</v>
      </c>
      <c r="AD18" s="14">
        <f>IF(ISBLANK(National_Annual!AD17),"",IFERROR(IF(MAX(National_Annual!$F$17:$AD$17)=MIN(National_Annual!$F$17:$AD$17),0,(MAX(National_Annual!$F$17:$AD$17)-National_Annual!AD17)/(MAX(National_Annual!$F$17:$AD$17)-MIN(National_Annual!$F$17:$AD$17))),""))</f>
        <v>0</v>
      </c>
    </row>
    <row r="19" spans="1:30" ht="15" customHeight="1">
      <c r="A19" s="7" t="s">
        <v>111</v>
      </c>
      <c r="B19" s="4" t="s">
        <v>112</v>
      </c>
      <c r="C19" s="4" t="s">
        <v>84</v>
      </c>
      <c r="D19" s="10" t="s">
        <v>75</v>
      </c>
      <c r="E19" s="10" t="s">
        <v>107</v>
      </c>
      <c r="F19" s="14">
        <f>IF(ISBLANK(National_Annual!F18),"",IFERROR(IF(MAX(National_Annual!$F$18:$AD$18)=MIN(National_Annual!$F$18:$AD$18),0,(MAX(National_Annual!$F$18:$AD$18)-National_Annual!F18)/(MAX(National_Annual!$F$18:$AD$18)-MIN(National_Annual!$F$18:$AD$18))),""))</f>
        <v>1</v>
      </c>
      <c r="G19" s="14">
        <f>IF(ISBLANK(National_Annual!G18),"",IFERROR(IF(MAX(National_Annual!$F$18:$AD$18)=MIN(National_Annual!$F$18:$AD$18),0,(MAX(National_Annual!$F$18:$AD$18)-National_Annual!G18)/(MAX(National_Annual!$F$18:$AD$18)-MIN(National_Annual!$F$18:$AD$18))),""))</f>
        <v>0.89583333333333337</v>
      </c>
      <c r="H19" s="14">
        <f>IF(ISBLANK(National_Annual!H18),"",IFERROR(IF(MAX(National_Annual!$F$18:$AD$18)=MIN(National_Annual!$F$18:$AD$18),0,(MAX(National_Annual!$F$18:$AD$18)-National_Annual!H18)/(MAX(National_Annual!$F$18:$AD$18)-MIN(National_Annual!$F$18:$AD$18))),""))</f>
        <v>0.79166666666666663</v>
      </c>
      <c r="I19" s="14">
        <f>IF(ISBLANK(National_Annual!I18),"",IFERROR(IF(MAX(National_Annual!$F$18:$AD$18)=MIN(National_Annual!$F$18:$AD$18),0,(MAX(National_Annual!$F$18:$AD$18)-National_Annual!I18)/(MAX(National_Annual!$F$18:$AD$18)-MIN(National_Annual!$F$18:$AD$18))),""))</f>
        <v>0.6875</v>
      </c>
      <c r="J19" s="14">
        <f>IF(ISBLANK(National_Annual!J18),"",IFERROR(IF(MAX(National_Annual!$F$18:$AD$18)=MIN(National_Annual!$F$18:$AD$18),0,(MAX(National_Annual!$F$18:$AD$18)-National_Annual!J18)/(MAX(National_Annual!$F$18:$AD$18)-MIN(National_Annual!$F$18:$AD$18))),""))</f>
        <v>0.47916666666666657</v>
      </c>
      <c r="K19" s="14">
        <f>IF(ISBLANK(National_Annual!K18),"",IFERROR(IF(MAX(National_Annual!$F$18:$AD$18)=MIN(National_Annual!$F$18:$AD$18),0,(MAX(National_Annual!$F$18:$AD$18)-National_Annual!K18)/(MAX(National_Annual!$F$18:$AD$18)-MIN(National_Annual!$F$18:$AD$18))),""))</f>
        <v>0.37500000000000006</v>
      </c>
      <c r="L19" s="14">
        <f>IF(ISBLANK(National_Annual!L18),"",IFERROR(IF(MAX(National_Annual!$F$18:$AD$18)=MIN(National_Annual!$F$18:$AD$18),0,(MAX(National_Annual!$F$18:$AD$18)-National_Annual!L18)/(MAX(National_Annual!$F$18:$AD$18)-MIN(National_Annual!$F$18:$AD$18))),""))</f>
        <v>0.33333333333333337</v>
      </c>
      <c r="M19" s="14">
        <f>IF(ISBLANK(National_Annual!M18),"",IFERROR(IF(MAX(National_Annual!$F$18:$AD$18)=MIN(National_Annual!$F$18:$AD$18),0,(MAX(National_Annual!$F$18:$AD$18)-National_Annual!M18)/(MAX(National_Annual!$F$18:$AD$18)-MIN(National_Annual!$F$18:$AD$18))),""))</f>
        <v>0.29166666666666669</v>
      </c>
      <c r="N19" s="14">
        <f>IF(ISBLANK(National_Annual!N18),"",IFERROR(IF(MAX(National_Annual!$F$18:$AD$18)=MIN(National_Annual!$F$18:$AD$18),0,(MAX(National_Annual!$F$18:$AD$18)-National_Annual!N18)/(MAX(National_Annual!$F$18:$AD$18)-MIN(National_Annual!$F$18:$AD$18))),""))</f>
        <v>0.24999999999999997</v>
      </c>
      <c r="O19" s="14">
        <f>IF(ISBLANK(National_Annual!O18),"",IFERROR(IF(MAX(National_Annual!$F$18:$AD$18)=MIN(National_Annual!$F$18:$AD$18),0,(MAX(National_Annual!$F$18:$AD$18)-National_Annual!O18)/(MAX(National_Annual!$F$18:$AD$18)-MIN(National_Annual!$F$18:$AD$18))),""))</f>
        <v>0.18750000000000014</v>
      </c>
      <c r="P19" s="14">
        <f>IF(ISBLANK(National_Annual!P18),"",IFERROR(IF(MAX(National_Annual!$F$18:$AD$18)=MIN(National_Annual!$F$18:$AD$18),0,(MAX(National_Annual!$F$18:$AD$18)-National_Annual!P18)/(MAX(National_Annual!$F$18:$AD$18)-MIN(National_Annual!$F$18:$AD$18))),""))</f>
        <v>0.14583333333333345</v>
      </c>
      <c r="Q19" s="14">
        <f>IF(ISBLANK(National_Annual!Q18),"",IFERROR(IF(MAX(National_Annual!$F$18:$AD$18)=MIN(National_Annual!$F$18:$AD$18),0,(MAX(National_Annual!$F$18:$AD$18)-National_Annual!Q18)/(MAX(National_Annual!$F$18:$AD$18)-MIN(National_Annual!$F$18:$AD$18))),""))</f>
        <v>0.12500000000000011</v>
      </c>
      <c r="R19" s="14">
        <f>IF(ISBLANK(National_Annual!R18),"",IFERROR(IF(MAX(National_Annual!$F$18:$AD$18)=MIN(National_Annual!$F$18:$AD$18),0,(MAX(National_Annual!$F$18:$AD$18)-National_Annual!R18)/(MAX(National_Annual!$F$18:$AD$18)-MIN(National_Annual!$F$18:$AD$18))),""))</f>
        <v>0.10416666666666675</v>
      </c>
      <c r="S19" s="14">
        <f>IF(ISBLANK(National_Annual!S18),"",IFERROR(IF(MAX(National_Annual!$F$18:$AD$18)=MIN(National_Annual!$F$18:$AD$18),0,(MAX(National_Annual!$F$18:$AD$18)-National_Annual!S18)/(MAX(National_Annual!$F$18:$AD$18)-MIN(National_Annual!$F$18:$AD$18))),""))</f>
        <v>0.14583333333333345</v>
      </c>
      <c r="T19" s="14">
        <f>IF(ISBLANK(National_Annual!T18),"",IFERROR(IF(MAX(National_Annual!$F$18:$AD$18)=MIN(National_Annual!$F$18:$AD$18),0,(MAX(National_Annual!$F$18:$AD$18)-National_Annual!T18)/(MAX(National_Annual!$F$18:$AD$18)-MIN(National_Annual!$F$18:$AD$18))),""))</f>
        <v>0.14583333333333345</v>
      </c>
      <c r="U19" s="14">
        <f>IF(ISBLANK(National_Annual!U18),"",IFERROR(IF(MAX(National_Annual!$F$18:$AD$18)=MIN(National_Annual!$F$18:$AD$18),0,(MAX(National_Annual!$F$18:$AD$18)-National_Annual!U18)/(MAX(National_Annual!$F$18:$AD$18)-MIN(National_Annual!$F$18:$AD$18))),""))</f>
        <v>0.14583333333333345</v>
      </c>
      <c r="V19" s="14">
        <f>IF(ISBLANK(National_Annual!V18),"",IFERROR(IF(MAX(National_Annual!$F$18:$AD$18)=MIN(National_Annual!$F$18:$AD$18),0,(MAX(National_Annual!$F$18:$AD$18)-National_Annual!V18)/(MAX(National_Annual!$F$18:$AD$18)-MIN(National_Annual!$F$18:$AD$18))),""))</f>
        <v>0.12500000000000011</v>
      </c>
      <c r="W19" s="14">
        <f>IF(ISBLANK(National_Annual!W18),"",IFERROR(IF(MAX(National_Annual!$F$18:$AD$18)=MIN(National_Annual!$F$18:$AD$18),0,(MAX(National_Annual!$F$18:$AD$18)-National_Annual!W18)/(MAX(National_Annual!$F$18:$AD$18)-MIN(National_Annual!$F$18:$AD$18))),""))</f>
        <v>0.10416666666666675</v>
      </c>
      <c r="X19" s="14">
        <f>IF(ISBLANK(National_Annual!X18),"",IFERROR(IF(MAX(National_Annual!$F$18:$AD$18)=MIN(National_Annual!$F$18:$AD$18),0,(MAX(National_Annual!$F$18:$AD$18)-National_Annual!X18)/(MAX(National_Annual!$F$18:$AD$18)-MIN(National_Annual!$F$18:$AD$18))),""))</f>
        <v>8.3333333333333398E-2</v>
      </c>
      <c r="Y19" s="14">
        <f>IF(ISBLANK(National_Annual!Y18),"",IFERROR(IF(MAX(National_Annual!$F$18:$AD$18)=MIN(National_Annual!$F$18:$AD$18),0,(MAX(National_Annual!$F$18:$AD$18)-National_Annual!Y18)/(MAX(National_Annual!$F$18:$AD$18)-MIN(National_Annual!$F$18:$AD$18))),""))</f>
        <v>6.2500000000000056E-2</v>
      </c>
      <c r="Z19" s="14">
        <f>IF(ISBLANK(National_Annual!Z18),"",IFERROR(IF(MAX(National_Annual!$F$18:$AD$18)=MIN(National_Annual!$F$18:$AD$18),0,(MAX(National_Annual!$F$18:$AD$18)-National_Annual!Z18)/(MAX(National_Annual!$F$18:$AD$18)-MIN(National_Annual!$F$18:$AD$18))),""))</f>
        <v>6.2500000000000056E-2</v>
      </c>
      <c r="AA19" s="14">
        <f>IF(ISBLANK(National_Annual!AA18),"",IFERROR(IF(MAX(National_Annual!$F$18:$AD$18)=MIN(National_Annual!$F$18:$AD$18),0,(MAX(National_Annual!$F$18:$AD$18)-National_Annual!AA18)/(MAX(National_Annual!$F$18:$AD$18)-MIN(National_Annual!$F$18:$AD$18))),""))</f>
        <v>4.1666666666666699E-2</v>
      </c>
      <c r="AB19" s="14">
        <f>IF(ISBLANK(National_Annual!AB18),"",IFERROR(IF(MAX(National_Annual!$F$18:$AD$18)=MIN(National_Annual!$F$18:$AD$18),0,(MAX(National_Annual!$F$18:$AD$18)-National_Annual!AB18)/(MAX(National_Annual!$F$18:$AD$18)-MIN(National_Annual!$F$18:$AD$18))),""))</f>
        <v>4.1666666666666699E-2</v>
      </c>
      <c r="AC19" s="14">
        <f>IF(ISBLANK(National_Annual!AC18),"",IFERROR(IF(MAX(National_Annual!$F$18:$AD$18)=MIN(National_Annual!$F$18:$AD$18),0,(MAX(National_Annual!$F$18:$AD$18)-National_Annual!AC18)/(MAX(National_Annual!$F$18:$AD$18)-MIN(National_Annual!$F$18:$AD$18))),""))</f>
        <v>2.083333333333335E-2</v>
      </c>
      <c r="AD19" s="14">
        <f>IF(ISBLANK(National_Annual!AD18),"",IFERROR(IF(MAX(National_Annual!$F$18:$AD$18)=MIN(National_Annual!$F$18:$AD$18),0,(MAX(National_Annual!$F$18:$AD$18)-National_Annual!AD18)/(MAX(National_Annual!$F$18:$AD$18)-MIN(National_Annual!$F$18:$AD$18))),""))</f>
        <v>0</v>
      </c>
    </row>
    <row r="20" spans="1:30" ht="15" customHeight="1">
      <c r="A20" s="7" t="s">
        <v>113</v>
      </c>
      <c r="B20" s="4" t="s">
        <v>114</v>
      </c>
      <c r="C20" s="4" t="s">
        <v>115</v>
      </c>
      <c r="D20" s="10" t="s">
        <v>75</v>
      </c>
      <c r="E20" s="10" t="s">
        <v>107</v>
      </c>
      <c r="F20" s="14">
        <f>IF(ISBLANK(National_Annual!F19),"",IFERROR(IF(MAX(National_Annual!$F$19:$AD$19)=MIN(National_Annual!$F$19:$AD$19),0,(MAX(National_Annual!$F$19:$AD$19)-National_Annual!F19)/(MAX(National_Annual!$F$19:$AD$19)-MIN(National_Annual!$F$19:$AD$19))),""))</f>
        <v>0.91145833333333337</v>
      </c>
      <c r="G20" s="14">
        <f>IF(ISBLANK(National_Annual!G19),"",IFERROR(IF(MAX(National_Annual!$F$19:$AD$19)=MIN(National_Annual!$F$19:$AD$19),0,(MAX(National_Annual!$F$19:$AD$19)-National_Annual!G19)/(MAX(National_Annual!$F$19:$AD$19)-MIN(National_Annual!$F$19:$AD$19))),""))</f>
        <v>0.89062500000000011</v>
      </c>
      <c r="H20" s="14">
        <f>IF(ISBLANK(National_Annual!H19),"",IFERROR(IF(MAX(National_Annual!$F$19:$AD$19)=MIN(National_Annual!$F$19:$AD$19),0,(MAX(National_Annual!$F$19:$AD$19)-National_Annual!H19)/(MAX(National_Annual!$F$19:$AD$19)-MIN(National_Annual!$F$19:$AD$19))),""))</f>
        <v>0.88020833333333326</v>
      </c>
      <c r="I20" s="14">
        <f>IF(ISBLANK(National_Annual!I19),"",IFERROR(IF(MAX(National_Annual!$F$19:$AD$19)=MIN(National_Annual!$F$19:$AD$19),0,(MAX(National_Annual!$F$19:$AD$19)-National_Annual!I19)/(MAX(National_Annual!$F$19:$AD$19)-MIN(National_Annual!$F$19:$AD$19))),""))</f>
        <v>0.86458333333333348</v>
      </c>
      <c r="J20" s="14">
        <f>IF(ISBLANK(National_Annual!J19),"",IFERROR(IF(MAX(National_Annual!$F$19:$AD$19)=MIN(National_Annual!$F$19:$AD$19),0,(MAX(National_Annual!$F$19:$AD$19)-National_Annual!J19)/(MAX(National_Annual!$F$19:$AD$19)-MIN(National_Annual!$F$19:$AD$19))),""))</f>
        <v>0.89583333333333337</v>
      </c>
      <c r="K20" s="14">
        <f>IF(ISBLANK(National_Annual!K19),"",IFERROR(IF(MAX(National_Annual!$F$19:$AD$19)=MIN(National_Annual!$F$19:$AD$19),0,(MAX(National_Annual!$F$19:$AD$19)-National_Annual!K19)/(MAX(National_Annual!$F$19:$AD$19)-MIN(National_Annual!$F$19:$AD$19))),""))</f>
        <v>0.92708333333333337</v>
      </c>
      <c r="L20" s="14">
        <f>IF(ISBLANK(National_Annual!L19),"",IFERROR(IF(MAX(National_Annual!$F$19:$AD$19)=MIN(National_Annual!$F$19:$AD$19),0,(MAX(National_Annual!$F$19:$AD$19)-National_Annual!L19)/(MAX(National_Annual!$F$19:$AD$19)-MIN(National_Annual!$F$19:$AD$19))),""))</f>
        <v>0.96354166666666674</v>
      </c>
      <c r="M20" s="14">
        <f>IF(ISBLANK(National_Annual!M19),"",IFERROR(IF(MAX(National_Annual!$F$19:$AD$19)=MIN(National_Annual!$F$19:$AD$19),0,(MAX(National_Annual!$F$19:$AD$19)-National_Annual!M19)/(MAX(National_Annual!$F$19:$AD$19)-MIN(National_Annual!$F$19:$AD$19))),""))</f>
        <v>0.98958333333333337</v>
      </c>
      <c r="N20" s="14">
        <f>IF(ISBLANK(National_Annual!N19),"",IFERROR(IF(MAX(National_Annual!$F$19:$AD$19)=MIN(National_Annual!$F$19:$AD$19),0,(MAX(National_Annual!$F$19:$AD$19)-National_Annual!N19)/(MAX(National_Annual!$F$19:$AD$19)-MIN(National_Annual!$F$19:$AD$19))),""))</f>
        <v>1</v>
      </c>
      <c r="O20" s="14">
        <f>IF(ISBLANK(National_Annual!O19),"",IFERROR(IF(MAX(National_Annual!$F$19:$AD$19)=MIN(National_Annual!$F$19:$AD$19),0,(MAX(National_Annual!$F$19:$AD$19)-National_Annual!O19)/(MAX(National_Annual!$F$19:$AD$19)-MIN(National_Annual!$F$19:$AD$19))),""))</f>
        <v>0.96354166666666674</v>
      </c>
      <c r="P20" s="14">
        <f>IF(ISBLANK(National_Annual!P19),"",IFERROR(IF(MAX(National_Annual!$F$19:$AD$19)=MIN(National_Annual!$F$19:$AD$19),0,(MAX(National_Annual!$F$19:$AD$19)-National_Annual!P19)/(MAX(National_Annual!$F$19:$AD$19)-MIN(National_Annual!$F$19:$AD$19))),""))</f>
        <v>0.91666666666666674</v>
      </c>
      <c r="Q20" s="14">
        <f>IF(ISBLANK(National_Annual!Q19),"",IFERROR(IF(MAX(National_Annual!$F$19:$AD$19)=MIN(National_Annual!$F$19:$AD$19),0,(MAX(National_Annual!$F$19:$AD$19)-National_Annual!Q19)/(MAX(National_Annual!$F$19:$AD$19)-MIN(National_Annual!$F$19:$AD$19))),""))</f>
        <v>0.85416666666666663</v>
      </c>
      <c r="R20" s="14">
        <f>IF(ISBLANK(National_Annual!R19),"",IFERROR(IF(MAX(National_Annual!$F$19:$AD$19)=MIN(National_Annual!$F$19:$AD$19),0,(MAX(National_Annual!$F$19:$AD$19)-National_Annual!R19)/(MAX(National_Annual!$F$19:$AD$19)-MIN(National_Annual!$F$19:$AD$19))),""))</f>
        <v>0.75520833333333337</v>
      </c>
      <c r="S20" s="14">
        <f>IF(ISBLANK(National_Annual!S19),"",IFERROR(IF(MAX(National_Annual!$F$19:$AD$19)=MIN(National_Annual!$F$19:$AD$19),0,(MAX(National_Annual!$F$19:$AD$19)-National_Annual!S19)/(MAX(National_Annual!$F$19:$AD$19)-MIN(National_Annual!$F$19:$AD$19))),""))</f>
        <v>0.6875</v>
      </c>
      <c r="T20" s="14">
        <f>IF(ISBLANK(National_Annual!T19),"",IFERROR(IF(MAX(National_Annual!$F$19:$AD$19)=MIN(National_Annual!$F$19:$AD$19),0,(MAX(National_Annual!$F$19:$AD$19)-National_Annual!T19)/(MAX(National_Annual!$F$19:$AD$19)-MIN(National_Annual!$F$19:$AD$19))),""))</f>
        <v>0.65104166666666674</v>
      </c>
      <c r="U20" s="14">
        <f>IF(ISBLANK(National_Annual!U19),"",IFERROR(IF(MAX(National_Annual!$F$19:$AD$19)=MIN(National_Annual!$F$19:$AD$19),0,(MAX(National_Annual!$F$19:$AD$19)-National_Annual!U19)/(MAX(National_Annual!$F$19:$AD$19)-MIN(National_Annual!$F$19:$AD$19))),""))</f>
        <v>0.46875</v>
      </c>
      <c r="V20" s="14">
        <f>IF(ISBLANK(National_Annual!V19),"",IFERROR(IF(MAX(National_Annual!$F$19:$AD$19)=MIN(National_Annual!$F$19:$AD$19),0,(MAX(National_Annual!$F$19:$AD$19)-National_Annual!V19)/(MAX(National_Annual!$F$19:$AD$19)-MIN(National_Annual!$F$19:$AD$19))),""))</f>
        <v>0.40625000000000006</v>
      </c>
      <c r="W20" s="14">
        <f>IF(ISBLANK(National_Annual!W19),"",IFERROR(IF(MAX(National_Annual!$F$19:$AD$19)=MIN(National_Annual!$F$19:$AD$19),0,(MAX(National_Annual!$F$19:$AD$19)-National_Annual!W19)/(MAX(National_Annual!$F$19:$AD$19)-MIN(National_Annual!$F$19:$AD$19))),""))</f>
        <v>0.28645833333333337</v>
      </c>
      <c r="X20" s="14">
        <f>IF(ISBLANK(National_Annual!X19),"",IFERROR(IF(MAX(National_Annual!$F$19:$AD$19)=MIN(National_Annual!$F$19:$AD$19),0,(MAX(National_Annual!$F$19:$AD$19)-National_Annual!X19)/(MAX(National_Annual!$F$19:$AD$19)-MIN(National_Annual!$F$19:$AD$19))),""))</f>
        <v>0.18229166666666669</v>
      </c>
      <c r="Y20" s="14">
        <f>IF(ISBLANK(National_Annual!Y19),"",IFERROR(IF(MAX(National_Annual!$F$19:$AD$19)=MIN(National_Annual!$F$19:$AD$19),0,(MAX(National_Annual!$F$19:$AD$19)-National_Annual!Y19)/(MAX(National_Annual!$F$19:$AD$19)-MIN(National_Annual!$F$19:$AD$19))),""))</f>
        <v>0.22395833333333337</v>
      </c>
      <c r="Z20" s="14">
        <f>IF(ISBLANK(National_Annual!Z19),"",IFERROR(IF(MAX(National_Annual!$F$19:$AD$19)=MIN(National_Annual!$F$19:$AD$19),0,(MAX(National_Annual!$F$19:$AD$19)-National_Annual!Z19)/(MAX(National_Annual!$F$19:$AD$19)-MIN(National_Annual!$F$19:$AD$19))),""))</f>
        <v>0.19270833333333331</v>
      </c>
      <c r="AA20" s="14">
        <f>IF(ISBLANK(National_Annual!AA19),"",IFERROR(IF(MAX(National_Annual!$F$19:$AD$19)=MIN(National_Annual!$F$19:$AD$19),0,(MAX(National_Annual!$F$19:$AD$19)-National_Annual!AA19)/(MAX(National_Annual!$F$19:$AD$19)-MIN(National_Annual!$F$19:$AD$19))),""))</f>
        <v>0.26041666666666669</v>
      </c>
      <c r="AB20" s="14">
        <f>IF(ISBLANK(National_Annual!AB19),"",IFERROR(IF(MAX(National_Annual!$F$19:$AD$19)=MIN(National_Annual!$F$19:$AD$19),0,(MAX(National_Annual!$F$19:$AD$19)-National_Annual!AB19)/(MAX(National_Annual!$F$19:$AD$19)-MIN(National_Annual!$F$19:$AD$19))),""))</f>
        <v>0.36458333333333337</v>
      </c>
      <c r="AC20" s="14">
        <f>IF(ISBLANK(National_Annual!AC19),"",IFERROR(IF(MAX(National_Annual!$F$19:$AD$19)=MIN(National_Annual!$F$19:$AD$19),0,(MAX(National_Annual!$F$19:$AD$19)-National_Annual!AC19)/(MAX(National_Annual!$F$19:$AD$19)-MIN(National_Annual!$F$19:$AD$19))),""))</f>
        <v>6.770833333333337E-2</v>
      </c>
      <c r="AD20" s="14">
        <f>IF(ISBLANK(National_Annual!AD19),"",IFERROR(IF(MAX(National_Annual!$F$19:$AD$19)=MIN(National_Annual!$F$19:$AD$19),0,(MAX(National_Annual!$F$19:$AD$19)-National_Annual!AD19)/(MAX(National_Annual!$F$19:$AD$19)-MIN(National_Annual!$F$19:$AD$19))),""))</f>
        <v>0</v>
      </c>
    </row>
    <row r="21" spans="1:30" ht="15" customHeight="1">
      <c r="A21" s="7" t="s">
        <v>116</v>
      </c>
      <c r="B21" s="4" t="s">
        <v>117</v>
      </c>
      <c r="C21" s="4" t="s">
        <v>118</v>
      </c>
      <c r="D21" s="10" t="s">
        <v>75</v>
      </c>
      <c r="E21" s="10" t="s">
        <v>107</v>
      </c>
      <c r="F21" s="14">
        <f>IF(ISBLANK(National_Annual!F20),"",IFERROR(IF(MAX(National_Annual!$F$20:$AD$20)=MIN(National_Annual!$F$20:$AD$20),0,(MAX(National_Annual!$F$20:$AD$20)-National_Annual!F20)/(MAX(National_Annual!$F$20:$AD$20)-MIN(National_Annual!$F$20:$AD$20))),""))</f>
        <v>1</v>
      </c>
      <c r="G21" s="14">
        <f>IF(ISBLANK(National_Annual!G20),"",IFERROR(IF(MAX(National_Annual!$F$20:$AD$20)=MIN(National_Annual!$F$20:$AD$20),0,(MAX(National_Annual!$F$20:$AD$20)-National_Annual!G20)/(MAX(National_Annual!$F$20:$AD$20)-MIN(National_Annual!$F$20:$AD$20))),""))</f>
        <v>0.96385542168674687</v>
      </c>
      <c r="H21" s="14">
        <f>IF(ISBLANK(National_Annual!H20),"",IFERROR(IF(MAX(National_Annual!$F$20:$AD$20)=MIN(National_Annual!$F$20:$AD$20),0,(MAX(National_Annual!$F$20:$AD$20)-National_Annual!H20)/(MAX(National_Annual!$F$20:$AD$20)-MIN(National_Annual!$F$20:$AD$20))),""))</f>
        <v>0.92771084337349397</v>
      </c>
      <c r="I21" s="14">
        <f>IF(ISBLANK(National_Annual!I20),"",IFERROR(IF(MAX(National_Annual!$F$20:$AD$20)=MIN(National_Annual!$F$20:$AD$20),0,(MAX(National_Annual!$F$20:$AD$20)-National_Annual!I20)/(MAX(National_Annual!$F$20:$AD$20)-MIN(National_Annual!$F$20:$AD$20))),""))</f>
        <v>0.90361445783132521</v>
      </c>
      <c r="J21" s="14">
        <f>IF(ISBLANK(National_Annual!J20),"",IFERROR(IF(MAX(National_Annual!$F$20:$AD$20)=MIN(National_Annual!$F$20:$AD$20),0,(MAX(National_Annual!$F$20:$AD$20)-National_Annual!J20)/(MAX(National_Annual!$F$20:$AD$20)-MIN(National_Annual!$F$20:$AD$20))),""))</f>
        <v>0.84337349397590355</v>
      </c>
      <c r="K21" s="14">
        <f>IF(ISBLANK(National_Annual!K20),"",IFERROR(IF(MAX(National_Annual!$F$20:$AD$20)=MIN(National_Annual!$F$20:$AD$20),0,(MAX(National_Annual!$F$20:$AD$20)-National_Annual!K20)/(MAX(National_Annual!$F$20:$AD$20)-MIN(National_Annual!$F$20:$AD$20))),""))</f>
        <v>0.80722891566265054</v>
      </c>
      <c r="L21" s="14">
        <f>IF(ISBLANK(National_Annual!L20),"",IFERROR(IF(MAX(National_Annual!$F$20:$AD$20)=MIN(National_Annual!$F$20:$AD$20),0,(MAX(National_Annual!$F$20:$AD$20)-National_Annual!L20)/(MAX(National_Annual!$F$20:$AD$20)-MIN(National_Annual!$F$20:$AD$20))),""))</f>
        <v>0.75903614457831314</v>
      </c>
      <c r="M21" s="14">
        <f>IF(ISBLANK(National_Annual!M20),"",IFERROR(IF(MAX(National_Annual!$F$20:$AD$20)=MIN(National_Annual!$F$20:$AD$20),0,(MAX(National_Annual!$F$20:$AD$20)-National_Annual!M20)/(MAX(National_Annual!$F$20:$AD$20)-MIN(National_Annual!$F$20:$AD$20))),""))</f>
        <v>0.72289156626506013</v>
      </c>
      <c r="N21" s="14">
        <f>IF(ISBLANK(National_Annual!N20),"",IFERROR(IF(MAX(National_Annual!$F$20:$AD$20)=MIN(National_Annual!$F$20:$AD$20),0,(MAX(National_Annual!$F$20:$AD$20)-National_Annual!N20)/(MAX(National_Annual!$F$20:$AD$20)-MIN(National_Annual!$F$20:$AD$20))),""))</f>
        <v>0.68674698795180722</v>
      </c>
      <c r="O21" s="14">
        <f>IF(ISBLANK(National_Annual!O20),"",IFERROR(IF(MAX(National_Annual!$F$20:$AD$20)=MIN(National_Annual!$F$20:$AD$20),0,(MAX(National_Annual!$F$20:$AD$20)-National_Annual!O20)/(MAX(National_Annual!$F$20:$AD$20)-MIN(National_Annual!$F$20:$AD$20))),""))</f>
        <v>0.66265060240963847</v>
      </c>
      <c r="P21" s="14">
        <f>IF(ISBLANK(National_Annual!P20),"",IFERROR(IF(MAX(National_Annual!$F$20:$AD$20)=MIN(National_Annual!$F$20:$AD$20),0,(MAX(National_Annual!$F$20:$AD$20)-National_Annual!P20)/(MAX(National_Annual!$F$20:$AD$20)-MIN(National_Annual!$F$20:$AD$20))),""))</f>
        <v>0.60240963855421681</v>
      </c>
      <c r="Q21" s="14">
        <f>IF(ISBLANK(National_Annual!Q20),"",IFERROR(IF(MAX(National_Annual!$F$20:$AD$20)=MIN(National_Annual!$F$20:$AD$20),0,(MAX(National_Annual!$F$20:$AD$20)-National_Annual!Q20)/(MAX(National_Annual!$F$20:$AD$20)-MIN(National_Annual!$F$20:$AD$20))),""))</f>
        <v>0.54216867469879515</v>
      </c>
      <c r="R21" s="14">
        <f>IF(ISBLANK(National_Annual!R20),"",IFERROR(IF(MAX(National_Annual!$F$20:$AD$20)=MIN(National_Annual!$F$20:$AD$20),0,(MAX(National_Annual!$F$20:$AD$20)-National_Annual!R20)/(MAX(National_Annual!$F$20:$AD$20)-MIN(National_Annual!$F$20:$AD$20))),""))</f>
        <v>0.48192771084337344</v>
      </c>
      <c r="S21" s="14">
        <f>IF(ISBLANK(National_Annual!S20),"",IFERROR(IF(MAX(National_Annual!$F$20:$AD$20)=MIN(National_Annual!$F$20:$AD$20),0,(MAX(National_Annual!$F$20:$AD$20)-National_Annual!S20)/(MAX(National_Annual!$F$20:$AD$20)-MIN(National_Annual!$F$20:$AD$20))),""))</f>
        <v>0.44578313253012047</v>
      </c>
      <c r="T21" s="14">
        <f>IF(ISBLANK(National_Annual!T20),"",IFERROR(IF(MAX(National_Annual!$F$20:$AD$20)=MIN(National_Annual!$F$20:$AD$20),0,(MAX(National_Annual!$F$20:$AD$20)-National_Annual!T20)/(MAX(National_Annual!$F$20:$AD$20)-MIN(National_Annual!$F$20:$AD$20))),""))</f>
        <v>0.39759036144578308</v>
      </c>
      <c r="U21" s="14">
        <f>IF(ISBLANK(National_Annual!U20),"",IFERROR(IF(MAX(National_Annual!$F$20:$AD$20)=MIN(National_Annual!$F$20:$AD$20),0,(MAX(National_Annual!$F$20:$AD$20)-National_Annual!U20)/(MAX(National_Annual!$F$20:$AD$20)-MIN(National_Annual!$F$20:$AD$20))),""))</f>
        <v>0.36144578313253006</v>
      </c>
      <c r="V21" s="14">
        <f>IF(ISBLANK(National_Annual!V20),"",IFERROR(IF(MAX(National_Annual!$F$20:$AD$20)=MIN(National_Annual!$F$20:$AD$20),0,(MAX(National_Annual!$F$20:$AD$20)-National_Annual!V20)/(MAX(National_Annual!$F$20:$AD$20)-MIN(National_Annual!$F$20:$AD$20))),""))</f>
        <v>0.3253012048192771</v>
      </c>
      <c r="W21" s="14">
        <f>IF(ISBLANK(National_Annual!W20),"",IFERROR(IF(MAX(National_Annual!$F$20:$AD$20)=MIN(National_Annual!$F$20:$AD$20),0,(MAX(National_Annual!$F$20:$AD$20)-National_Annual!W20)/(MAX(National_Annual!$F$20:$AD$20)-MIN(National_Annual!$F$20:$AD$20))),""))</f>
        <v>0.3012048192771084</v>
      </c>
      <c r="X21" s="14">
        <f>IF(ISBLANK(National_Annual!X20),"",IFERROR(IF(MAX(National_Annual!$F$20:$AD$20)=MIN(National_Annual!$F$20:$AD$20),0,(MAX(National_Annual!$F$20:$AD$20)-National_Annual!X20)/(MAX(National_Annual!$F$20:$AD$20)-MIN(National_Annual!$F$20:$AD$20))),""))</f>
        <v>0.24096385542168672</v>
      </c>
      <c r="Y21" s="14">
        <f>IF(ISBLANK(National_Annual!Y20),"",IFERROR(IF(MAX(National_Annual!$F$20:$AD$20)=MIN(National_Annual!$F$20:$AD$20),0,(MAX(National_Annual!$F$20:$AD$20)-National_Annual!Y20)/(MAX(National_Annual!$F$20:$AD$20)-MIN(National_Annual!$F$20:$AD$20))),""))</f>
        <v>0.20481927710843373</v>
      </c>
      <c r="Z21" s="14">
        <f>IF(ISBLANK(National_Annual!Z20),"",IFERROR(IF(MAX(National_Annual!$F$20:$AD$20)=MIN(National_Annual!$F$20:$AD$20),0,(MAX(National_Annual!$F$20:$AD$20)-National_Annual!Z20)/(MAX(National_Annual!$F$20:$AD$20)-MIN(National_Annual!$F$20:$AD$20))),""))</f>
        <v>0.22891566265060243</v>
      </c>
      <c r="AA21" s="14">
        <f>IF(ISBLANK(National_Annual!AA20),"",IFERROR(IF(MAX(National_Annual!$F$20:$AD$20)=MIN(National_Annual!$F$20:$AD$20),0,(MAX(National_Annual!$F$20:$AD$20)-National_Annual!AA20)/(MAX(National_Annual!$F$20:$AD$20)-MIN(National_Annual!$F$20:$AD$20))),""))</f>
        <v>0.18072289156626503</v>
      </c>
      <c r="AB21" s="14">
        <f>IF(ISBLANK(National_Annual!AB20),"",IFERROR(IF(MAX(National_Annual!$F$20:$AD$20)=MIN(National_Annual!$F$20:$AD$20),0,(MAX(National_Annual!$F$20:$AD$20)-National_Annual!AB20)/(MAX(National_Annual!$F$20:$AD$20)-MIN(National_Annual!$F$20:$AD$20))),""))</f>
        <v>0.12048192771084336</v>
      </c>
      <c r="AC21" s="14">
        <f>IF(ISBLANK(National_Annual!AC20),"",IFERROR(IF(MAX(National_Annual!$F$20:$AD$20)=MIN(National_Annual!$F$20:$AD$20),0,(MAX(National_Annual!$F$20:$AD$20)-National_Annual!AC20)/(MAX(National_Annual!$F$20:$AD$20)-MIN(National_Annual!$F$20:$AD$20))),""))</f>
        <v>6.0240963855421679E-2</v>
      </c>
      <c r="AD21" s="14">
        <f>IF(ISBLANK(National_Annual!AD20),"",IFERROR(IF(MAX(National_Annual!$F$20:$AD$20)=MIN(National_Annual!$F$20:$AD$20),0,(MAX(National_Annual!$F$20:$AD$20)-National_Annual!AD20)/(MAX(National_Annual!$F$20:$AD$20)-MIN(National_Annual!$F$20:$AD$20))),""))</f>
        <v>0</v>
      </c>
    </row>
    <row r="22" spans="1:30" ht="15" customHeight="1">
      <c r="A22" s="7" t="s">
        <v>119</v>
      </c>
      <c r="B22" s="4" t="s">
        <v>120</v>
      </c>
      <c r="C22" s="4" t="s">
        <v>103</v>
      </c>
      <c r="D22" s="10" t="s">
        <v>75</v>
      </c>
      <c r="E22" s="10" t="s">
        <v>107</v>
      </c>
      <c r="F22" s="14" t="str">
        <f>IF(ISBLANK(National_Annual!F21),"",IFERROR(IF(MAX(National_Annual!$F$21:$AD$21)=MIN(National_Annual!$F$21:$AD$21),0,(MAX(National_Annual!$F$21:$AD$21)-National_Annual!F21)/(MAX(National_Annual!$F$21:$AD$21)-MIN(National_Annual!$F$21:$AD$21))),""))</f>
        <v/>
      </c>
      <c r="G22" s="14" t="str">
        <f>IF(ISBLANK(National_Annual!G21),"",IFERROR(IF(MAX(National_Annual!$F$21:$AD$21)=MIN(National_Annual!$F$21:$AD$21),0,(MAX(National_Annual!$F$21:$AD$21)-National_Annual!G21)/(MAX(National_Annual!$F$21:$AD$21)-MIN(National_Annual!$F$21:$AD$21))),""))</f>
        <v/>
      </c>
      <c r="H22" s="14" t="str">
        <f>IF(ISBLANK(National_Annual!H21),"",IFERROR(IF(MAX(National_Annual!$F$21:$AD$21)=MIN(National_Annual!$F$21:$AD$21),0,(MAX(National_Annual!$F$21:$AD$21)-National_Annual!H21)/(MAX(National_Annual!$F$21:$AD$21)-MIN(National_Annual!$F$21:$AD$21))),""))</f>
        <v/>
      </c>
      <c r="I22" s="14" t="str">
        <f>IF(ISBLANK(National_Annual!I21),"",IFERROR(IF(MAX(National_Annual!$F$21:$AD$21)=MIN(National_Annual!$F$21:$AD$21),0,(MAX(National_Annual!$F$21:$AD$21)-National_Annual!I21)/(MAX(National_Annual!$F$21:$AD$21)-MIN(National_Annual!$F$21:$AD$21))),""))</f>
        <v/>
      </c>
      <c r="J22" s="14" t="str">
        <f>IF(ISBLANK(National_Annual!J21),"",IFERROR(IF(MAX(National_Annual!$F$21:$AD$21)=MIN(National_Annual!$F$21:$AD$21),0,(MAX(National_Annual!$F$21:$AD$21)-National_Annual!J21)/(MAX(National_Annual!$F$21:$AD$21)-MIN(National_Annual!$F$21:$AD$21))),""))</f>
        <v/>
      </c>
      <c r="K22" s="14" t="str">
        <f>IF(ISBLANK(National_Annual!K21),"",IFERROR(IF(MAX(National_Annual!$F$21:$AD$21)=MIN(National_Annual!$F$21:$AD$21),0,(MAX(National_Annual!$F$21:$AD$21)-National_Annual!K21)/(MAX(National_Annual!$F$21:$AD$21)-MIN(National_Annual!$F$21:$AD$21))),""))</f>
        <v/>
      </c>
      <c r="L22" s="14" t="str">
        <f>IF(ISBLANK(National_Annual!L21),"",IFERROR(IF(MAX(National_Annual!$F$21:$AD$21)=MIN(National_Annual!$F$21:$AD$21),0,(MAX(National_Annual!$F$21:$AD$21)-National_Annual!L21)/(MAX(National_Annual!$F$21:$AD$21)-MIN(National_Annual!$F$21:$AD$21))),""))</f>
        <v/>
      </c>
      <c r="M22" s="14" t="str">
        <f>IF(ISBLANK(National_Annual!M21),"",IFERROR(IF(MAX(National_Annual!$F$21:$AD$21)=MIN(National_Annual!$F$21:$AD$21),0,(MAX(National_Annual!$F$21:$AD$21)-National_Annual!M21)/(MAX(National_Annual!$F$21:$AD$21)-MIN(National_Annual!$F$21:$AD$21))),""))</f>
        <v/>
      </c>
      <c r="N22" s="14" t="str">
        <f>IF(ISBLANK(National_Annual!N21),"",IFERROR(IF(MAX(National_Annual!$F$21:$AD$21)=MIN(National_Annual!$F$21:$AD$21),0,(MAX(National_Annual!$F$21:$AD$21)-National_Annual!N21)/(MAX(National_Annual!$F$21:$AD$21)-MIN(National_Annual!$F$21:$AD$21))),""))</f>
        <v/>
      </c>
      <c r="O22" s="14" t="str">
        <f>IF(ISBLANK(National_Annual!O21),"",IFERROR(IF(MAX(National_Annual!$F$21:$AD$21)=MIN(National_Annual!$F$21:$AD$21),0,(MAX(National_Annual!$F$21:$AD$21)-National_Annual!O21)/(MAX(National_Annual!$F$21:$AD$21)-MIN(National_Annual!$F$21:$AD$21))),""))</f>
        <v/>
      </c>
      <c r="P22" s="14" t="str">
        <f>IF(ISBLANK(National_Annual!P21),"",IFERROR(IF(MAX(National_Annual!$F$21:$AD$21)=MIN(National_Annual!$F$21:$AD$21),0,(MAX(National_Annual!$F$21:$AD$21)-National_Annual!P21)/(MAX(National_Annual!$F$21:$AD$21)-MIN(National_Annual!$F$21:$AD$21))),""))</f>
        <v/>
      </c>
      <c r="Q22" s="14" t="str">
        <f>IF(ISBLANK(National_Annual!Q21),"",IFERROR(IF(MAX(National_Annual!$F$21:$AD$21)=MIN(National_Annual!$F$21:$AD$21),0,(MAX(National_Annual!$F$21:$AD$21)-National_Annual!Q21)/(MAX(National_Annual!$F$21:$AD$21)-MIN(National_Annual!$F$21:$AD$21))),""))</f>
        <v/>
      </c>
      <c r="R22" s="14" t="str">
        <f>IF(ISBLANK(National_Annual!R21),"",IFERROR(IF(MAX(National_Annual!$F$21:$AD$21)=MIN(National_Annual!$F$21:$AD$21),0,(MAX(National_Annual!$F$21:$AD$21)-National_Annual!R21)/(MAX(National_Annual!$F$21:$AD$21)-MIN(National_Annual!$F$21:$AD$21))),""))</f>
        <v/>
      </c>
      <c r="S22" s="14" t="str">
        <f>IF(ISBLANK(National_Annual!S21),"",IFERROR(IF(MAX(National_Annual!$F$21:$AD$21)=MIN(National_Annual!$F$21:$AD$21),0,(MAX(National_Annual!$F$21:$AD$21)-National_Annual!S21)/(MAX(National_Annual!$F$21:$AD$21)-MIN(National_Annual!$F$21:$AD$21))),""))</f>
        <v/>
      </c>
      <c r="T22" s="14" t="str">
        <f>IF(ISBLANK(National_Annual!T21),"",IFERROR(IF(MAX(National_Annual!$F$21:$AD$21)=MIN(National_Annual!$F$21:$AD$21),0,(MAX(National_Annual!$F$21:$AD$21)-National_Annual!T21)/(MAX(National_Annual!$F$21:$AD$21)-MIN(National_Annual!$F$21:$AD$21))),""))</f>
        <v/>
      </c>
      <c r="U22" s="14" t="str">
        <f>IF(ISBLANK(National_Annual!U21),"",IFERROR(IF(MAX(National_Annual!$F$21:$AD$21)=MIN(National_Annual!$F$21:$AD$21),0,(MAX(National_Annual!$F$21:$AD$21)-National_Annual!U21)/(MAX(National_Annual!$F$21:$AD$21)-MIN(National_Annual!$F$21:$AD$21))),""))</f>
        <v/>
      </c>
      <c r="V22" s="14" t="str">
        <f>IF(ISBLANK(National_Annual!V21),"",IFERROR(IF(MAX(National_Annual!$F$21:$AD$21)=MIN(National_Annual!$F$21:$AD$21),0,(MAX(National_Annual!$F$21:$AD$21)-National_Annual!V21)/(MAX(National_Annual!$F$21:$AD$21)-MIN(National_Annual!$F$21:$AD$21))),""))</f>
        <v/>
      </c>
      <c r="W22" s="14" t="str">
        <f>IF(ISBLANK(National_Annual!W21),"",IFERROR(IF(MAX(National_Annual!$F$21:$AD$21)=MIN(National_Annual!$F$21:$AD$21),0,(MAX(National_Annual!$F$21:$AD$21)-National_Annual!W21)/(MAX(National_Annual!$F$21:$AD$21)-MIN(National_Annual!$F$21:$AD$21))),""))</f>
        <v/>
      </c>
      <c r="X22" s="14" t="str">
        <f>IF(ISBLANK(National_Annual!X21),"",IFERROR(IF(MAX(National_Annual!$F$21:$AD$21)=MIN(National_Annual!$F$21:$AD$21),0,(MAX(National_Annual!$F$21:$AD$21)-National_Annual!X21)/(MAX(National_Annual!$F$21:$AD$21)-MIN(National_Annual!$F$21:$AD$21))),""))</f>
        <v/>
      </c>
      <c r="Y22" s="14">
        <f>IF(ISBLANK(National_Annual!Y21),"",IFERROR(IF(MAX(National_Annual!$F$21:$AD$21)=MIN(National_Annual!$F$21:$AD$21),0,(MAX(National_Annual!$F$21:$AD$21)-National_Annual!Y21)/(MAX(National_Annual!$F$21:$AD$21)-MIN(National_Annual!$F$21:$AD$21))),""))</f>
        <v>1</v>
      </c>
      <c r="Z22" s="14">
        <f>IF(ISBLANK(National_Annual!Z21),"",IFERROR(IF(MAX(National_Annual!$F$21:$AD$21)=MIN(National_Annual!$F$21:$AD$21),0,(MAX(National_Annual!$F$21:$AD$21)-National_Annual!Z21)/(MAX(National_Annual!$F$21:$AD$21)-MIN(National_Annual!$F$21:$AD$21))),""))</f>
        <v>0.68749999999999978</v>
      </c>
      <c r="AA22" s="14">
        <f>IF(ISBLANK(National_Annual!AA21),"",IFERROR(IF(MAX(National_Annual!$F$21:$AD$21)=MIN(National_Annual!$F$21:$AD$21),0,(MAX(National_Annual!$F$21:$AD$21)-National_Annual!AA21)/(MAX(National_Annual!$F$21:$AD$21)-MIN(National_Annual!$F$21:$AD$21))),""))</f>
        <v>0.4583333333333327</v>
      </c>
      <c r="AB22" s="14">
        <f>IF(ISBLANK(National_Annual!AB21),"",IFERROR(IF(MAX(National_Annual!$F$21:$AD$21)=MIN(National_Annual!$F$21:$AD$21),0,(MAX(National_Annual!$F$21:$AD$21)-National_Annual!AB21)/(MAX(National_Annual!$F$21:$AD$21)-MIN(National_Annual!$F$21:$AD$21))),""))</f>
        <v>0.24999999999999925</v>
      </c>
      <c r="AC22" s="14">
        <f>IF(ISBLANK(National_Annual!AC21),"",IFERROR(IF(MAX(National_Annual!$F$21:$AD$21)=MIN(National_Annual!$F$21:$AD$21),0,(MAX(National_Annual!$F$21:$AD$21)-National_Annual!AC21)/(MAX(National_Annual!$F$21:$AD$21)-MIN(National_Annual!$F$21:$AD$21))),""))</f>
        <v>0.12499999999999889</v>
      </c>
      <c r="AD22" s="14">
        <f>IF(ISBLANK(National_Annual!AD21),"",IFERROR(IF(MAX(National_Annual!$F$21:$AD$21)=MIN(National_Annual!$F$21:$AD$21),0,(MAX(National_Annual!$F$21:$AD$21)-National_Annual!AD21)/(MAX(National_Annual!$F$21:$AD$21)-MIN(National_Annual!$F$21:$AD$21))),""))</f>
        <v>0</v>
      </c>
    </row>
    <row r="23" spans="1:30" ht="15" customHeight="1">
      <c r="A23" s="7" t="s">
        <v>121</v>
      </c>
      <c r="B23" s="4" t="s">
        <v>122</v>
      </c>
      <c r="C23" s="4" t="s">
        <v>103</v>
      </c>
      <c r="D23" s="10" t="s">
        <v>75</v>
      </c>
      <c r="E23" s="10" t="s">
        <v>107</v>
      </c>
      <c r="F23" s="14" t="str">
        <f>IF(ISBLANK(National_Annual!F22),"",IFERROR(IF(MAX(National_Annual!$F$22:$AD$22)=MIN(National_Annual!$F$22:$AD$22),0,(MAX(National_Annual!$F$22:$AD$22)-National_Annual!F22)/(MAX(National_Annual!$F$22:$AD$22)-MIN(National_Annual!$F$22:$AD$22))),""))</f>
        <v/>
      </c>
      <c r="G23" s="14" t="str">
        <f>IF(ISBLANK(National_Annual!G22),"",IFERROR(IF(MAX(National_Annual!$F$22:$AD$22)=MIN(National_Annual!$F$22:$AD$22),0,(MAX(National_Annual!$F$22:$AD$22)-National_Annual!G22)/(MAX(National_Annual!$F$22:$AD$22)-MIN(National_Annual!$F$22:$AD$22))),""))</f>
        <v/>
      </c>
      <c r="H23" s="14" t="str">
        <f>IF(ISBLANK(National_Annual!H22),"",IFERROR(IF(MAX(National_Annual!$F$22:$AD$22)=MIN(National_Annual!$F$22:$AD$22),0,(MAX(National_Annual!$F$22:$AD$22)-National_Annual!H22)/(MAX(National_Annual!$F$22:$AD$22)-MIN(National_Annual!$F$22:$AD$22))),""))</f>
        <v/>
      </c>
      <c r="I23" s="14" t="str">
        <f>IF(ISBLANK(National_Annual!I22),"",IFERROR(IF(MAX(National_Annual!$F$22:$AD$22)=MIN(National_Annual!$F$22:$AD$22),0,(MAX(National_Annual!$F$22:$AD$22)-National_Annual!I22)/(MAX(National_Annual!$F$22:$AD$22)-MIN(National_Annual!$F$22:$AD$22))),""))</f>
        <v/>
      </c>
      <c r="J23" s="14" t="str">
        <f>IF(ISBLANK(National_Annual!J22),"",IFERROR(IF(MAX(National_Annual!$F$22:$AD$22)=MIN(National_Annual!$F$22:$AD$22),0,(MAX(National_Annual!$F$22:$AD$22)-National_Annual!J22)/(MAX(National_Annual!$F$22:$AD$22)-MIN(National_Annual!$F$22:$AD$22))),""))</f>
        <v/>
      </c>
      <c r="K23" s="14" t="str">
        <f>IF(ISBLANK(National_Annual!K22),"",IFERROR(IF(MAX(National_Annual!$F$22:$AD$22)=MIN(National_Annual!$F$22:$AD$22),0,(MAX(National_Annual!$F$22:$AD$22)-National_Annual!K22)/(MAX(National_Annual!$F$22:$AD$22)-MIN(National_Annual!$F$22:$AD$22))),""))</f>
        <v/>
      </c>
      <c r="L23" s="14" t="str">
        <f>IF(ISBLANK(National_Annual!L22),"",IFERROR(IF(MAX(National_Annual!$F$22:$AD$22)=MIN(National_Annual!$F$22:$AD$22),0,(MAX(National_Annual!$F$22:$AD$22)-National_Annual!L22)/(MAX(National_Annual!$F$22:$AD$22)-MIN(National_Annual!$F$22:$AD$22))),""))</f>
        <v/>
      </c>
      <c r="M23" s="14" t="str">
        <f>IF(ISBLANK(National_Annual!M22),"",IFERROR(IF(MAX(National_Annual!$F$22:$AD$22)=MIN(National_Annual!$F$22:$AD$22),0,(MAX(National_Annual!$F$22:$AD$22)-National_Annual!M22)/(MAX(National_Annual!$F$22:$AD$22)-MIN(National_Annual!$F$22:$AD$22))),""))</f>
        <v/>
      </c>
      <c r="N23" s="14" t="str">
        <f>IF(ISBLANK(National_Annual!N22),"",IFERROR(IF(MAX(National_Annual!$F$22:$AD$22)=MIN(National_Annual!$F$22:$AD$22),0,(MAX(National_Annual!$F$22:$AD$22)-National_Annual!N22)/(MAX(National_Annual!$F$22:$AD$22)-MIN(National_Annual!$F$22:$AD$22))),""))</f>
        <v/>
      </c>
      <c r="O23" s="14" t="str">
        <f>IF(ISBLANK(National_Annual!O22),"",IFERROR(IF(MAX(National_Annual!$F$22:$AD$22)=MIN(National_Annual!$F$22:$AD$22),0,(MAX(National_Annual!$F$22:$AD$22)-National_Annual!O22)/(MAX(National_Annual!$F$22:$AD$22)-MIN(National_Annual!$F$22:$AD$22))),""))</f>
        <v/>
      </c>
      <c r="P23" s="14" t="str">
        <f>IF(ISBLANK(National_Annual!P22),"",IFERROR(IF(MAX(National_Annual!$F$22:$AD$22)=MIN(National_Annual!$F$22:$AD$22),0,(MAX(National_Annual!$F$22:$AD$22)-National_Annual!P22)/(MAX(National_Annual!$F$22:$AD$22)-MIN(National_Annual!$F$22:$AD$22))),""))</f>
        <v/>
      </c>
      <c r="Q23" s="14" t="str">
        <f>IF(ISBLANK(National_Annual!Q22),"",IFERROR(IF(MAX(National_Annual!$F$22:$AD$22)=MIN(National_Annual!$F$22:$AD$22),0,(MAX(National_Annual!$F$22:$AD$22)-National_Annual!Q22)/(MAX(National_Annual!$F$22:$AD$22)-MIN(National_Annual!$F$22:$AD$22))),""))</f>
        <v/>
      </c>
      <c r="R23" s="14" t="str">
        <f>IF(ISBLANK(National_Annual!R22),"",IFERROR(IF(MAX(National_Annual!$F$22:$AD$22)=MIN(National_Annual!$F$22:$AD$22),0,(MAX(National_Annual!$F$22:$AD$22)-National_Annual!R22)/(MAX(National_Annual!$F$22:$AD$22)-MIN(National_Annual!$F$22:$AD$22))),""))</f>
        <v/>
      </c>
      <c r="S23" s="14" t="str">
        <f>IF(ISBLANK(National_Annual!S22),"",IFERROR(IF(MAX(National_Annual!$F$22:$AD$22)=MIN(National_Annual!$F$22:$AD$22),0,(MAX(National_Annual!$F$22:$AD$22)-National_Annual!S22)/(MAX(National_Annual!$F$22:$AD$22)-MIN(National_Annual!$F$22:$AD$22))),""))</f>
        <v/>
      </c>
      <c r="T23" s="14" t="str">
        <f>IF(ISBLANK(National_Annual!T22),"",IFERROR(IF(MAX(National_Annual!$F$22:$AD$22)=MIN(National_Annual!$F$22:$AD$22),0,(MAX(National_Annual!$F$22:$AD$22)-National_Annual!T22)/(MAX(National_Annual!$F$22:$AD$22)-MIN(National_Annual!$F$22:$AD$22))),""))</f>
        <v/>
      </c>
      <c r="U23" s="14" t="str">
        <f>IF(ISBLANK(National_Annual!U22),"",IFERROR(IF(MAX(National_Annual!$F$22:$AD$22)=MIN(National_Annual!$F$22:$AD$22),0,(MAX(National_Annual!$F$22:$AD$22)-National_Annual!U22)/(MAX(National_Annual!$F$22:$AD$22)-MIN(National_Annual!$F$22:$AD$22))),""))</f>
        <v/>
      </c>
      <c r="V23" s="14" t="str">
        <f>IF(ISBLANK(National_Annual!V22),"",IFERROR(IF(MAX(National_Annual!$F$22:$AD$22)=MIN(National_Annual!$F$22:$AD$22),0,(MAX(National_Annual!$F$22:$AD$22)-National_Annual!V22)/(MAX(National_Annual!$F$22:$AD$22)-MIN(National_Annual!$F$22:$AD$22))),""))</f>
        <v/>
      </c>
      <c r="W23" s="14">
        <f>IF(ISBLANK(National_Annual!W22),"",IFERROR(IF(MAX(National_Annual!$F$22:$AD$22)=MIN(National_Annual!$F$22:$AD$22),0,(MAX(National_Annual!$F$22:$AD$22)-National_Annual!W22)/(MAX(National_Annual!$F$22:$AD$22)-MIN(National_Annual!$F$22:$AD$22))),""))</f>
        <v>1</v>
      </c>
      <c r="X23" s="14">
        <f>IF(ISBLANK(National_Annual!X22),"",IFERROR(IF(MAX(National_Annual!$F$22:$AD$22)=MIN(National_Annual!$F$22:$AD$22),0,(MAX(National_Annual!$F$22:$AD$22)-National_Annual!X22)/(MAX(National_Annual!$F$22:$AD$22)-MIN(National_Annual!$F$22:$AD$22))),""))</f>
        <v>0.70454545454545459</v>
      </c>
      <c r="Y23" s="14">
        <f>IF(ISBLANK(National_Annual!Y22),"",IFERROR(IF(MAX(National_Annual!$F$22:$AD$22)=MIN(National_Annual!$F$22:$AD$22),0,(MAX(National_Annual!$F$22:$AD$22)-National_Annual!Y22)/(MAX(National_Annual!$F$22:$AD$22)-MIN(National_Annual!$F$22:$AD$22))),""))</f>
        <v>0.59090909090909094</v>
      </c>
      <c r="Z23" s="14">
        <f>IF(ISBLANK(National_Annual!Z22),"",IFERROR(IF(MAX(National_Annual!$F$22:$AD$22)=MIN(National_Annual!$F$22:$AD$22),0,(MAX(National_Annual!$F$22:$AD$22)-National_Annual!Z22)/(MAX(National_Annual!$F$22:$AD$22)-MIN(National_Annual!$F$22:$AD$22))),""))</f>
        <v>0.38636363636363635</v>
      </c>
      <c r="AA23" s="14">
        <f>IF(ISBLANK(National_Annual!AA22),"",IFERROR(IF(MAX(National_Annual!$F$22:$AD$22)=MIN(National_Annual!$F$22:$AD$22),0,(MAX(National_Annual!$F$22:$AD$22)-National_Annual!AA22)/(MAX(National_Annual!$F$22:$AD$22)-MIN(National_Annual!$F$22:$AD$22))),""))</f>
        <v>0.27272727272727271</v>
      </c>
      <c r="AB23" s="14">
        <f>IF(ISBLANK(National_Annual!AB22),"",IFERROR(IF(MAX(National_Annual!$F$22:$AD$22)=MIN(National_Annual!$F$22:$AD$22),0,(MAX(National_Annual!$F$22:$AD$22)-National_Annual!AB22)/(MAX(National_Annual!$F$22:$AD$22)-MIN(National_Annual!$F$22:$AD$22))),""))</f>
        <v>0.15909090909090909</v>
      </c>
      <c r="AC23" s="14">
        <f>IF(ISBLANK(National_Annual!AC22),"",IFERROR(IF(MAX(National_Annual!$F$22:$AD$22)=MIN(National_Annual!$F$22:$AD$22),0,(MAX(National_Annual!$F$22:$AD$22)-National_Annual!AC22)/(MAX(National_Annual!$F$22:$AD$22)-MIN(National_Annual!$F$22:$AD$22))),""))</f>
        <v>6.8181818181818177E-2</v>
      </c>
      <c r="AD23" s="14">
        <f>IF(ISBLANK(National_Annual!AD22),"",IFERROR(IF(MAX(National_Annual!$F$22:$AD$22)=MIN(National_Annual!$F$22:$AD$22),0,(MAX(National_Annual!$F$22:$AD$22)-National_Annual!AD22)/(MAX(National_Annual!$F$22:$AD$22)-MIN(National_Annual!$F$22:$AD$22))),""))</f>
        <v>0</v>
      </c>
    </row>
    <row r="24" spans="1:30" ht="15" customHeight="1">
      <c r="A24" s="7" t="s">
        <v>123</v>
      </c>
      <c r="B24" s="4" t="s">
        <v>124</v>
      </c>
      <c r="C24" s="4" t="s">
        <v>100</v>
      </c>
      <c r="D24" s="10" t="s">
        <v>68</v>
      </c>
      <c r="E24" s="10" t="s">
        <v>125</v>
      </c>
      <c r="F24" s="14">
        <f>IF(ISBLANK(National_Annual!F23),"",IFERROR(IF(MAX(National_Annual!$F$23:$AD$23)=MIN(National_Annual!$F$23:$AD$23),0,(National_Annual!F23-MIN(National_Annual!$F$23:$AD$23))/(MAX(National_Annual!$F$23:$AD$23)-MIN(National_Annual!$F$23:$AD$23))),""))</f>
        <v>1</v>
      </c>
      <c r="G24" s="14">
        <f>IF(ISBLANK(National_Annual!G23),"",IFERROR(IF(MAX(National_Annual!$F$23:$AD$23)=MIN(National_Annual!$F$23:$AD$23),0,(National_Annual!G23-MIN(National_Annual!$F$23:$AD$23))/(MAX(National_Annual!$F$23:$AD$23)-MIN(National_Annual!$F$23:$AD$23))),""))</f>
        <v>0.92857142857142849</v>
      </c>
      <c r="H24" s="14">
        <f>IF(ISBLANK(National_Annual!H23),"",IFERROR(IF(MAX(National_Annual!$F$23:$AD$23)=MIN(National_Annual!$F$23:$AD$23),0,(National_Annual!H23-MIN(National_Annual!$F$23:$AD$23))/(MAX(National_Annual!$F$23:$AD$23)-MIN(National_Annual!$F$23:$AD$23))),""))</f>
        <v>0.88095238095238082</v>
      </c>
      <c r="I24" s="14">
        <f>IF(ISBLANK(National_Annual!I23),"",IFERROR(IF(MAX(National_Annual!$F$23:$AD$23)=MIN(National_Annual!$F$23:$AD$23),0,(National_Annual!I23-MIN(National_Annual!$F$23:$AD$23))/(MAX(National_Annual!$F$23:$AD$23)-MIN(National_Annual!$F$23:$AD$23))),""))</f>
        <v>0.83333333333333315</v>
      </c>
      <c r="J24" s="14">
        <f>IF(ISBLANK(National_Annual!J23),"",IFERROR(IF(MAX(National_Annual!$F$23:$AD$23)=MIN(National_Annual!$F$23:$AD$23),0,(National_Annual!J23-MIN(National_Annual!$F$23:$AD$23))/(MAX(National_Annual!$F$23:$AD$23)-MIN(National_Annual!$F$23:$AD$23))),""))</f>
        <v>0.78571428571428548</v>
      </c>
      <c r="K24" s="14">
        <f>IF(ISBLANK(National_Annual!K23),"",IFERROR(IF(MAX(National_Annual!$F$23:$AD$23)=MIN(National_Annual!$F$23:$AD$23),0,(National_Annual!K23-MIN(National_Annual!$F$23:$AD$23))/(MAX(National_Annual!$F$23:$AD$23)-MIN(National_Annual!$F$23:$AD$23))),""))</f>
        <v>0.7380952380952378</v>
      </c>
      <c r="L24" s="14">
        <f>IF(ISBLANK(National_Annual!L23),"",IFERROR(IF(MAX(National_Annual!$F$23:$AD$23)=MIN(National_Annual!$F$23:$AD$23),0,(National_Annual!L23-MIN(National_Annual!$F$23:$AD$23))/(MAX(National_Annual!$F$23:$AD$23)-MIN(National_Annual!$F$23:$AD$23))),""))</f>
        <v>0.69047619047619002</v>
      </c>
      <c r="M24" s="14">
        <f>IF(ISBLANK(National_Annual!M23),"",IFERROR(IF(MAX(National_Annual!$F$23:$AD$23)=MIN(National_Annual!$F$23:$AD$23),0,(National_Annual!M23-MIN(National_Annual!$F$23:$AD$23))/(MAX(National_Annual!$F$23:$AD$23)-MIN(National_Annual!$F$23:$AD$23))),""))</f>
        <v>0.64285714285714235</v>
      </c>
      <c r="N24" s="14">
        <f>IF(ISBLANK(National_Annual!N23),"",IFERROR(IF(MAX(National_Annual!$F$23:$AD$23)=MIN(National_Annual!$F$23:$AD$23),0,(National_Annual!N23-MIN(National_Annual!$F$23:$AD$23))/(MAX(National_Annual!$F$23:$AD$23)-MIN(National_Annual!$F$23:$AD$23))),""))</f>
        <v>0.59523809523809468</v>
      </c>
      <c r="O24" s="14">
        <f>IF(ISBLANK(National_Annual!O23),"",IFERROR(IF(MAX(National_Annual!$F$23:$AD$23)=MIN(National_Annual!$F$23:$AD$23),0,(National_Annual!O23-MIN(National_Annual!$F$23:$AD$23))/(MAX(National_Annual!$F$23:$AD$23)-MIN(National_Annual!$F$23:$AD$23))),""))</f>
        <v>0.54761904761904701</v>
      </c>
      <c r="P24" s="14">
        <f>IF(ISBLANK(National_Annual!P23),"",IFERROR(IF(MAX(National_Annual!$F$23:$AD$23)=MIN(National_Annual!$F$23:$AD$23),0,(National_Annual!P23-MIN(National_Annual!$F$23:$AD$23))/(MAX(National_Annual!$F$23:$AD$23)-MIN(National_Annual!$F$23:$AD$23))),""))</f>
        <v>0.49999999999999933</v>
      </c>
      <c r="Q24" s="14">
        <f>IF(ISBLANK(National_Annual!Q23),"",IFERROR(IF(MAX(National_Annual!$F$23:$AD$23)=MIN(National_Annual!$F$23:$AD$23),0,(National_Annual!Q23-MIN(National_Annual!$F$23:$AD$23))/(MAX(National_Annual!$F$23:$AD$23)-MIN(National_Annual!$F$23:$AD$23))),""))</f>
        <v>0.45238095238095166</v>
      </c>
      <c r="R24" s="14">
        <f>IF(ISBLANK(National_Annual!R23),"",IFERROR(IF(MAX(National_Annual!$F$23:$AD$23)=MIN(National_Annual!$F$23:$AD$23),0,(National_Annual!R23-MIN(National_Annual!$F$23:$AD$23))/(MAX(National_Annual!$F$23:$AD$23)-MIN(National_Annual!$F$23:$AD$23))),""))</f>
        <v>0.40476190476190399</v>
      </c>
      <c r="S24" s="14">
        <f>IF(ISBLANK(National_Annual!S23),"",IFERROR(IF(MAX(National_Annual!$F$23:$AD$23)=MIN(National_Annual!$F$23:$AD$23),0,(National_Annual!S23-MIN(National_Annual!$F$23:$AD$23))/(MAX(National_Annual!$F$23:$AD$23)-MIN(National_Annual!$F$23:$AD$23))),""))</f>
        <v>0.35714285714285632</v>
      </c>
      <c r="T24" s="14">
        <f>IF(ISBLANK(National_Annual!T23),"",IFERROR(IF(MAX(National_Annual!$F$23:$AD$23)=MIN(National_Annual!$F$23:$AD$23),0,(National_Annual!T23-MIN(National_Annual!$F$23:$AD$23))/(MAX(National_Annual!$F$23:$AD$23)-MIN(National_Annual!$F$23:$AD$23))),""))</f>
        <v>0.30952380952380859</v>
      </c>
      <c r="U24" s="14">
        <f>IF(ISBLANK(National_Annual!U23),"",IFERROR(IF(MAX(National_Annual!$F$23:$AD$23)=MIN(National_Annual!$F$23:$AD$23),0,(National_Annual!U23-MIN(National_Annual!$F$23:$AD$23))/(MAX(National_Annual!$F$23:$AD$23)-MIN(National_Annual!$F$23:$AD$23))),""))</f>
        <v>0.26190476190476092</v>
      </c>
      <c r="V24" s="14">
        <f>IF(ISBLANK(National_Annual!V23),"",IFERROR(IF(MAX(National_Annual!$F$23:$AD$23)=MIN(National_Annual!$F$23:$AD$23),0,(National_Annual!V23-MIN(National_Annual!$F$23:$AD$23))/(MAX(National_Annual!$F$23:$AD$23)-MIN(National_Annual!$F$23:$AD$23))),""))</f>
        <v>0.21428571428571325</v>
      </c>
      <c r="W24" s="14">
        <f>IF(ISBLANK(National_Annual!W23),"",IFERROR(IF(MAX(National_Annual!$F$23:$AD$23)=MIN(National_Annual!$F$23:$AD$23),0,(National_Annual!W23-MIN(National_Annual!$F$23:$AD$23))/(MAX(National_Annual!$F$23:$AD$23)-MIN(National_Annual!$F$23:$AD$23))),""))</f>
        <v>0.16666666666666557</v>
      </c>
      <c r="X24" s="14">
        <f>IF(ISBLANK(National_Annual!X23),"",IFERROR(IF(MAX(National_Annual!$F$23:$AD$23)=MIN(National_Annual!$F$23:$AD$23),0,(National_Annual!X23-MIN(National_Annual!$F$23:$AD$23))/(MAX(National_Annual!$F$23:$AD$23)-MIN(National_Annual!$F$23:$AD$23))),""))</f>
        <v>0.11904761904761789</v>
      </c>
      <c r="Y24" s="14">
        <f>IF(ISBLANK(National_Annual!Y23),"",IFERROR(IF(MAX(National_Annual!$F$23:$AD$23)=MIN(National_Annual!$F$23:$AD$23),0,(National_Annual!Y23-MIN(National_Annual!$F$23:$AD$23))/(MAX(National_Annual!$F$23:$AD$23)-MIN(National_Annual!$F$23:$AD$23))),""))</f>
        <v>9.5238095238094039E-2</v>
      </c>
      <c r="Z24" s="14">
        <f>IF(ISBLANK(National_Annual!Z23),"",IFERROR(IF(MAX(National_Annual!$F$23:$AD$23)=MIN(National_Annual!$F$23:$AD$23),0,(National_Annual!Z23-MIN(National_Annual!$F$23:$AD$23))/(MAX(National_Annual!$F$23:$AD$23)-MIN(National_Annual!$F$23:$AD$23))),""))</f>
        <v>7.1428571428570203E-2</v>
      </c>
      <c r="AA24" s="14">
        <f>IF(ISBLANK(National_Annual!AA23),"",IFERROR(IF(MAX(National_Annual!$F$23:$AD$23)=MIN(National_Annual!$F$23:$AD$23),0,(National_Annual!AA23-MIN(National_Annual!$F$23:$AD$23))/(MAX(National_Annual!$F$23:$AD$23)-MIN(National_Annual!$F$23:$AD$23))),""))</f>
        <v>4.761904761904636E-2</v>
      </c>
      <c r="AB24" s="14">
        <f>IF(ISBLANK(National_Annual!AB23),"",IFERROR(IF(MAX(National_Annual!$F$23:$AD$23)=MIN(National_Annual!$F$23:$AD$23),0,(National_Annual!AB23-MIN(National_Annual!$F$23:$AD$23))/(MAX(National_Annual!$F$23:$AD$23)-MIN(National_Annual!$F$23:$AD$23))),""))</f>
        <v>2.3809523809522518E-2</v>
      </c>
      <c r="AC24" s="14">
        <f>IF(ISBLANK(National_Annual!AC23),"",IFERROR(IF(MAX(National_Annual!$F$23:$AD$23)=MIN(National_Annual!$F$23:$AD$23),0,(National_Annual!AC23-MIN(National_Annual!$F$23:$AD$23))/(MAX(National_Annual!$F$23:$AD$23)-MIN(National_Annual!$F$23:$AD$23))),""))</f>
        <v>0</v>
      </c>
      <c r="AD24" s="14">
        <f>IF(ISBLANK(National_Annual!AD23),"",IFERROR(IF(MAX(National_Annual!$F$23:$AD$23)=MIN(National_Annual!$F$23:$AD$23),0,(National_Annual!AD23-MIN(National_Annual!$F$23:$AD$23))/(MAX(National_Annual!$F$23:$AD$23)-MIN(National_Annual!$F$23:$AD$23))),""))</f>
        <v>0</v>
      </c>
    </row>
    <row r="25" spans="1:30" ht="15" customHeight="1">
      <c r="A25" s="7" t="s">
        <v>126</v>
      </c>
      <c r="B25" s="4" t="s">
        <v>127</v>
      </c>
      <c r="C25" s="4" t="s">
        <v>100</v>
      </c>
      <c r="D25" s="10" t="s">
        <v>75</v>
      </c>
      <c r="E25" s="10" t="s">
        <v>125</v>
      </c>
      <c r="F25" s="14">
        <f>IF(ISBLANK(National_Annual!F24),"",IFERROR(IF(MAX(National_Annual!$F$24:$AD$24)=MIN(National_Annual!$F$24:$AD$24),0,(MAX(National_Annual!$F$24:$AD$24)-National_Annual!F24)/(MAX(National_Annual!$F$24:$AD$24)-MIN(National_Annual!$F$24:$AD$24))),""))</f>
        <v>1</v>
      </c>
      <c r="G25" s="14">
        <f>IF(ISBLANK(National_Annual!G24),"",IFERROR(IF(MAX(National_Annual!$F$24:$AD$24)=MIN(National_Annual!$F$24:$AD$24),0,(MAX(National_Annual!$F$24:$AD$24)-National_Annual!G24)/(MAX(National_Annual!$F$24:$AD$24)-MIN(National_Annual!$F$24:$AD$24))),""))</f>
        <v>0.94117647058823528</v>
      </c>
      <c r="H25" s="14">
        <f>IF(ISBLANK(National_Annual!H24),"",IFERROR(IF(MAX(National_Annual!$F$24:$AD$24)=MIN(National_Annual!$F$24:$AD$24),0,(MAX(National_Annual!$F$24:$AD$24)-National_Annual!H24)/(MAX(National_Annual!$F$24:$AD$24)-MIN(National_Annual!$F$24:$AD$24))),""))</f>
        <v>0.88235294117647056</v>
      </c>
      <c r="I25" s="14">
        <f>IF(ISBLANK(National_Annual!I24),"",IFERROR(IF(MAX(National_Annual!$F$24:$AD$24)=MIN(National_Annual!$F$24:$AD$24),0,(MAX(National_Annual!$F$24:$AD$24)-National_Annual!I24)/(MAX(National_Annual!$F$24:$AD$24)-MIN(National_Annual!$F$24:$AD$24))),""))</f>
        <v>0.82352941176470573</v>
      </c>
      <c r="J25" s="14">
        <f>IF(ISBLANK(National_Annual!J24),"",IFERROR(IF(MAX(National_Annual!$F$24:$AD$24)=MIN(National_Annual!$F$24:$AD$24),0,(MAX(National_Annual!$F$24:$AD$24)-National_Annual!J24)/(MAX(National_Annual!$F$24:$AD$24)-MIN(National_Annual!$F$24:$AD$24))),""))</f>
        <v>0.76470588235294101</v>
      </c>
      <c r="K25" s="14">
        <f>IF(ISBLANK(National_Annual!K24),"",IFERROR(IF(MAX(National_Annual!$F$24:$AD$24)=MIN(National_Annual!$F$24:$AD$24),0,(MAX(National_Annual!$F$24:$AD$24)-National_Annual!K24)/(MAX(National_Annual!$F$24:$AD$24)-MIN(National_Annual!$F$24:$AD$24))),""))</f>
        <v>0.67058823529411804</v>
      </c>
      <c r="L25" s="14">
        <f>IF(ISBLANK(National_Annual!L24),"",IFERROR(IF(MAX(National_Annual!$F$24:$AD$24)=MIN(National_Annual!$F$24:$AD$24),0,(MAX(National_Annual!$F$24:$AD$24)-National_Annual!L24)/(MAX(National_Annual!$F$24:$AD$24)-MIN(National_Annual!$F$24:$AD$24))),""))</f>
        <v>0.58823529411764741</v>
      </c>
      <c r="M25" s="14">
        <f>IF(ISBLANK(National_Annual!M24),"",IFERROR(IF(MAX(National_Annual!$F$24:$AD$24)=MIN(National_Annual!$F$24:$AD$24),0,(MAX(National_Annual!$F$24:$AD$24)-National_Annual!M24)/(MAX(National_Annual!$F$24:$AD$24)-MIN(National_Annual!$F$24:$AD$24))),""))</f>
        <v>0.52941176470588269</v>
      </c>
      <c r="N25" s="14">
        <f>IF(ISBLANK(National_Annual!N24),"",IFERROR(IF(MAX(National_Annual!$F$24:$AD$24)=MIN(National_Annual!$F$24:$AD$24),0,(MAX(National_Annual!$F$24:$AD$24)-National_Annual!N24)/(MAX(National_Annual!$F$24:$AD$24)-MIN(National_Annual!$F$24:$AD$24))),""))</f>
        <v>0.47058823529411797</v>
      </c>
      <c r="O25" s="14">
        <f>IF(ISBLANK(National_Annual!O24),"",IFERROR(IF(MAX(National_Annual!$F$24:$AD$24)=MIN(National_Annual!$F$24:$AD$24),0,(MAX(National_Annual!$F$24:$AD$24)-National_Annual!O24)/(MAX(National_Annual!$F$24:$AD$24)-MIN(National_Annual!$F$24:$AD$24))),""))</f>
        <v>0.43529411764705911</v>
      </c>
      <c r="P25" s="14">
        <f>IF(ISBLANK(National_Annual!P24),"",IFERROR(IF(MAX(National_Annual!$F$24:$AD$24)=MIN(National_Annual!$F$24:$AD$24),0,(MAX(National_Annual!$F$24:$AD$24)-National_Annual!P24)/(MAX(National_Annual!$F$24:$AD$24)-MIN(National_Annual!$F$24:$AD$24))),""))</f>
        <v>0.38823529411764729</v>
      </c>
      <c r="Q25" s="14">
        <f>IF(ISBLANK(National_Annual!Q24),"",IFERROR(IF(MAX(National_Annual!$F$24:$AD$24)=MIN(National_Annual!$F$24:$AD$24),0,(MAX(National_Annual!$F$24:$AD$24)-National_Annual!Q24)/(MAX(National_Annual!$F$24:$AD$24)-MIN(National_Annual!$F$24:$AD$24))),""))</f>
        <v>0.36470588235294144</v>
      </c>
      <c r="R25" s="14">
        <f>IF(ISBLANK(National_Annual!R24),"",IFERROR(IF(MAX(National_Annual!$F$24:$AD$24)=MIN(National_Annual!$F$24:$AD$24),0,(MAX(National_Annual!$F$24:$AD$24)-National_Annual!R24)/(MAX(National_Annual!$F$24:$AD$24)-MIN(National_Annual!$F$24:$AD$24))),""))</f>
        <v>0.31764705882352962</v>
      </c>
      <c r="S25" s="14">
        <f>IF(ISBLANK(National_Annual!S24),"",IFERROR(IF(MAX(National_Annual!$F$24:$AD$24)=MIN(National_Annual!$F$24:$AD$24),0,(MAX(National_Annual!$F$24:$AD$24)-National_Annual!S24)/(MAX(National_Annual!$F$24:$AD$24)-MIN(National_Annual!$F$24:$AD$24))),""))</f>
        <v>0.28235294117647075</v>
      </c>
      <c r="T25" s="14">
        <f>IF(ISBLANK(National_Annual!T24),"",IFERROR(IF(MAX(National_Annual!$F$24:$AD$24)=MIN(National_Annual!$F$24:$AD$24),0,(MAX(National_Annual!$F$24:$AD$24)-National_Annual!T24)/(MAX(National_Annual!$F$24:$AD$24)-MIN(National_Annual!$F$24:$AD$24))),""))</f>
        <v>0.2588235294117649</v>
      </c>
      <c r="U25" s="14">
        <f>IF(ISBLANK(National_Annual!U24),"",IFERROR(IF(MAX(National_Annual!$F$24:$AD$24)=MIN(National_Annual!$F$24:$AD$24),0,(MAX(National_Annual!$F$24:$AD$24)-National_Annual!U24)/(MAX(National_Annual!$F$24:$AD$24)-MIN(National_Annual!$F$24:$AD$24))),""))</f>
        <v>0.22352941176470603</v>
      </c>
      <c r="V25" s="14">
        <f>IF(ISBLANK(National_Annual!V24),"",IFERROR(IF(MAX(National_Annual!$F$24:$AD$24)=MIN(National_Annual!$F$24:$AD$24),0,(MAX(National_Annual!$F$24:$AD$24)-National_Annual!V24)/(MAX(National_Annual!$F$24:$AD$24)-MIN(National_Annual!$F$24:$AD$24))),""))</f>
        <v>0.20000000000000012</v>
      </c>
      <c r="W25" s="14">
        <f>IF(ISBLANK(National_Annual!W24),"",IFERROR(IF(MAX(National_Annual!$F$24:$AD$24)=MIN(National_Annual!$F$24:$AD$24),0,(MAX(National_Annual!$F$24:$AD$24)-National_Annual!W24)/(MAX(National_Annual!$F$24:$AD$24)-MIN(National_Annual!$F$24:$AD$24))),""))</f>
        <v>0.17647058823529424</v>
      </c>
      <c r="X25" s="14">
        <f>IF(ISBLANK(National_Annual!X24),"",IFERROR(IF(MAX(National_Annual!$F$24:$AD$24)=MIN(National_Annual!$F$24:$AD$24),0,(MAX(National_Annual!$F$24:$AD$24)-National_Annual!X24)/(MAX(National_Annual!$F$24:$AD$24)-MIN(National_Annual!$F$24:$AD$24))),""))</f>
        <v>0.15294117647058833</v>
      </c>
      <c r="Y25" s="14">
        <f>IF(ISBLANK(National_Annual!Y24),"",IFERROR(IF(MAX(National_Annual!$F$24:$AD$24)=MIN(National_Annual!$F$24:$AD$24),0,(MAX(National_Annual!$F$24:$AD$24)-National_Annual!Y24)/(MAX(National_Annual!$F$24:$AD$24)-MIN(National_Annual!$F$24:$AD$24))),""))</f>
        <v>0.11764705882352949</v>
      </c>
      <c r="Z25" s="14">
        <f>IF(ISBLANK(National_Annual!Z24),"",IFERROR(IF(MAX(National_Annual!$F$24:$AD$24)=MIN(National_Annual!$F$24:$AD$24),0,(MAX(National_Annual!$F$24:$AD$24)-National_Annual!Z24)/(MAX(National_Annual!$F$24:$AD$24)-MIN(National_Annual!$F$24:$AD$24))),""))</f>
        <v>9.4117647058823597E-2</v>
      </c>
      <c r="AA25" s="14">
        <f>IF(ISBLANK(National_Annual!AA24),"",IFERROR(IF(MAX(National_Annual!$F$24:$AD$24)=MIN(National_Annual!$F$24:$AD$24),0,(MAX(National_Annual!$F$24:$AD$24)-National_Annual!AA24)/(MAX(National_Annual!$F$24:$AD$24)-MIN(National_Annual!$F$24:$AD$24))),""))</f>
        <v>5.8823529411764747E-2</v>
      </c>
      <c r="AB25" s="14">
        <f>IF(ISBLANK(National_Annual!AB24),"",IFERROR(IF(MAX(National_Annual!$F$24:$AD$24)=MIN(National_Annual!$F$24:$AD$24),0,(MAX(National_Annual!$F$24:$AD$24)-National_Annual!AB24)/(MAX(National_Annual!$F$24:$AD$24)-MIN(National_Annual!$F$24:$AD$24))),""))</f>
        <v>3.5294117647058844E-2</v>
      </c>
      <c r="AC25" s="14">
        <f>IF(ISBLANK(National_Annual!AC24),"",IFERROR(IF(MAX(National_Annual!$F$24:$AD$24)=MIN(National_Annual!$F$24:$AD$24),0,(MAX(National_Annual!$F$24:$AD$24)-National_Annual!AC24)/(MAX(National_Annual!$F$24:$AD$24)-MIN(National_Annual!$F$24:$AD$24))),""))</f>
        <v>1.176470588235295E-2</v>
      </c>
      <c r="AD25" s="14">
        <f>IF(ISBLANK(National_Annual!AD24),"",IFERROR(IF(MAX(National_Annual!$F$24:$AD$24)=MIN(National_Annual!$F$24:$AD$24),0,(MAX(National_Annual!$F$24:$AD$24)-National_Annual!AD24)/(MAX(National_Annual!$F$24:$AD$24)-MIN(National_Annual!$F$24:$AD$24))),""))</f>
        <v>0</v>
      </c>
    </row>
  </sheetData>
  <mergeCells count="2">
    <mergeCell ref="A1:AD1"/>
    <mergeCell ref="A2:AD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
  <sheetViews>
    <sheetView zoomScaleNormal="100" workbookViewId="0">
      <pane xSplit="2" ySplit="4" topLeftCell="C5" activePane="bottomRight" state="frozen"/>
      <selection pane="bottomRight"/>
      <selection pane="bottomLeft" activeCell="A5" sqref="A5"/>
      <selection pane="topRight" activeCell="C1" sqref="C1"/>
    </sheetView>
  </sheetViews>
  <sheetFormatPr defaultColWidth="8.5703125" defaultRowHeight="14.45"/>
  <cols>
    <col min="1" max="1" width="16" customWidth="1"/>
    <col min="2" max="2" width="46" customWidth="1"/>
    <col min="3" max="27" width="9" customWidth="1"/>
  </cols>
  <sheetData>
    <row r="1" spans="1:27" ht="17.25" customHeight="1">
      <c r="A1" s="32" t="s">
        <v>130</v>
      </c>
      <c r="B1" s="32"/>
      <c r="C1" s="32"/>
      <c r="D1" s="32"/>
      <c r="E1" s="32"/>
      <c r="F1" s="32"/>
      <c r="G1" s="32"/>
      <c r="H1" s="32"/>
      <c r="I1" s="32"/>
      <c r="J1" s="32"/>
      <c r="K1" s="32"/>
      <c r="L1" s="32"/>
      <c r="M1" s="32"/>
      <c r="N1" s="32"/>
      <c r="O1" s="32"/>
      <c r="P1" s="32"/>
      <c r="Q1" s="32"/>
      <c r="R1" s="32"/>
      <c r="S1" s="32"/>
      <c r="T1" s="32"/>
      <c r="U1" s="32"/>
      <c r="V1" s="32"/>
      <c r="W1" s="32"/>
      <c r="X1" s="32"/>
      <c r="Y1" s="32"/>
      <c r="Z1" s="32"/>
      <c r="AA1" s="32"/>
    </row>
    <row r="2" spans="1:27" ht="15" customHeight="1">
      <c r="A2" s="35" t="s">
        <v>131</v>
      </c>
      <c r="B2" s="35"/>
      <c r="C2" s="35"/>
      <c r="D2" s="35"/>
      <c r="E2" s="35"/>
      <c r="F2" s="35"/>
      <c r="G2" s="35"/>
      <c r="H2" s="35"/>
      <c r="I2" s="35"/>
      <c r="J2" s="35"/>
      <c r="K2" s="35"/>
      <c r="L2" s="35"/>
      <c r="M2" s="35"/>
      <c r="N2" s="35"/>
      <c r="O2" s="35"/>
      <c r="P2" s="35"/>
      <c r="Q2" s="35"/>
      <c r="R2" s="35"/>
      <c r="S2" s="35"/>
      <c r="T2" s="35"/>
      <c r="U2" s="35"/>
      <c r="V2" s="35"/>
      <c r="W2" s="35"/>
      <c r="X2" s="35"/>
      <c r="Y2" s="35"/>
      <c r="Z2" s="35"/>
      <c r="AA2" s="35"/>
    </row>
    <row r="4" spans="1:27" ht="15" customHeight="1">
      <c r="A4" s="3" t="s">
        <v>24</v>
      </c>
      <c r="B4" s="3" t="s">
        <v>132</v>
      </c>
      <c r="C4" s="3" t="s">
        <v>40</v>
      </c>
      <c r="D4" s="3" t="s">
        <v>41</v>
      </c>
      <c r="E4" s="3" t="s">
        <v>42</v>
      </c>
      <c r="F4" s="3" t="s">
        <v>43</v>
      </c>
      <c r="G4" s="3" t="s">
        <v>44</v>
      </c>
      <c r="H4" s="3" t="s">
        <v>45</v>
      </c>
      <c r="I4" s="3" t="s">
        <v>46</v>
      </c>
      <c r="J4" s="3" t="s">
        <v>47</v>
      </c>
      <c r="K4" s="3" t="s">
        <v>48</v>
      </c>
      <c r="L4" s="3" t="s">
        <v>49</v>
      </c>
      <c r="M4" s="3" t="s">
        <v>50</v>
      </c>
      <c r="N4" s="3" t="s">
        <v>51</v>
      </c>
      <c r="O4" s="3" t="s">
        <v>52</v>
      </c>
      <c r="P4" s="3" t="s">
        <v>53</v>
      </c>
      <c r="Q4" s="3" t="s">
        <v>54</v>
      </c>
      <c r="R4" s="3" t="s">
        <v>55</v>
      </c>
      <c r="S4" s="3" t="s">
        <v>56</v>
      </c>
      <c r="T4" s="3" t="s">
        <v>57</v>
      </c>
      <c r="U4" s="3" t="s">
        <v>58</v>
      </c>
      <c r="V4" s="3" t="s">
        <v>59</v>
      </c>
      <c r="W4" s="3" t="s">
        <v>60</v>
      </c>
      <c r="X4" s="3" t="s">
        <v>61</v>
      </c>
      <c r="Y4" s="3" t="s">
        <v>62</v>
      </c>
      <c r="Z4" s="3" t="s">
        <v>63</v>
      </c>
      <c r="AA4" s="3" t="s">
        <v>64</v>
      </c>
    </row>
    <row r="5" spans="1:27" ht="15" customHeight="1">
      <c r="A5" s="7" t="s">
        <v>133</v>
      </c>
      <c r="B5" s="4" t="s">
        <v>134</v>
      </c>
      <c r="C5" s="15">
        <f>IFERROR(AVERAGE(National_Normalized!F5,National_Normalized!F6,National_Normalized!F7,National_Normalized!F8,National_Normalized!F9),"")</f>
        <v>0.22234105763517528</v>
      </c>
      <c r="D5" s="15">
        <f>IFERROR(AVERAGE(National_Normalized!G5,National_Normalized!G6,National_Normalized!G7,National_Normalized!G8,National_Normalized!G9),"")</f>
        <v>0.27611812745730113</v>
      </c>
      <c r="E5" s="15">
        <f>IFERROR(AVERAGE(National_Normalized!H5,National_Normalized!H6,National_Normalized!H7,National_Normalized!H8,National_Normalized!H9),"")</f>
        <v>0.17058431625390316</v>
      </c>
      <c r="F5" s="15">
        <f>IFERROR(AVERAGE(National_Normalized!I5,National_Normalized!I6,National_Normalized!I7,National_Normalized!I8,National_Normalized!I9),"")</f>
        <v>0.34393585416113553</v>
      </c>
      <c r="G5" s="15">
        <f>IFERROR(AVERAGE(National_Normalized!J5,National_Normalized!J6,National_Normalized!J7,National_Normalized!J8,National_Normalized!J9),"")</f>
        <v>0.18861860153474649</v>
      </c>
      <c r="H5" s="15">
        <f>IFERROR(AVERAGE(National_Normalized!K5,National_Normalized!K6,National_Normalized!K7,National_Normalized!K8,National_Normalized!K9),"")</f>
        <v>0.33537249845134703</v>
      </c>
      <c r="I5" s="15">
        <f>IFERROR(AVERAGE(National_Normalized!L5,National_Normalized!L6,National_Normalized!L7,National_Normalized!L8,National_Normalized!L9),"")</f>
        <v>0.27271260793163166</v>
      </c>
      <c r="J5" s="15">
        <f>IFERROR(AVERAGE(National_Normalized!M5,National_Normalized!M6,National_Normalized!M7,National_Normalized!M8,National_Normalized!M9),"")</f>
        <v>0.3925017382839659</v>
      </c>
      <c r="K5" s="15">
        <f>IFERROR(AVERAGE(National_Normalized!N5,National_Normalized!N6,National_Normalized!N7,National_Normalized!N8,National_Normalized!N9),"")</f>
        <v>0.25228770811999823</v>
      </c>
      <c r="L5" s="15">
        <f>IFERROR(AVERAGE(National_Normalized!O5,National_Normalized!O6,National_Normalized!O7,National_Normalized!O8,National_Normalized!O9),"")</f>
        <v>0.24281867485872494</v>
      </c>
      <c r="M5" s="15">
        <f>IFERROR(AVERAGE(National_Normalized!P5,National_Normalized!P6,National_Normalized!P7,National_Normalized!P8,National_Normalized!P9),"")</f>
        <v>0.2723404255319149</v>
      </c>
      <c r="N5" s="15">
        <f>IFERROR(AVERAGE(National_Normalized!Q5,National_Normalized!Q6,National_Normalized!Q7,National_Normalized!Q8,National_Normalized!Q9),"")</f>
        <v>0.39723530675971197</v>
      </c>
      <c r="O5" s="15">
        <f>IFERROR(AVERAGE(National_Normalized!R5,National_Normalized!R6,National_Normalized!R7,National_Normalized!R8,National_Normalized!R9),"")</f>
        <v>0.41952301487971067</v>
      </c>
      <c r="P5" s="15">
        <f>IFERROR(AVERAGE(National_Normalized!S5,National_Normalized!S6,National_Normalized!S7,National_Normalized!S8,National_Normalized!S9),"")</f>
        <v>0.26313750774326483</v>
      </c>
      <c r="Q5" s="15">
        <f>IFERROR(AVERAGE(National_Normalized!T5,National_Normalized!T6,National_Normalized!T7,National_Normalized!T8,National_Normalized!T9),"")</f>
        <v>0.44617084486921754</v>
      </c>
      <c r="R5" s="15">
        <f>IFERROR(AVERAGE(National_Normalized!U5,National_Normalized!U6,National_Normalized!U7,National_Normalized!U8,National_Normalized!U9),"")</f>
        <v>0.41952111856992957</v>
      </c>
      <c r="S5" s="15">
        <f>IFERROR(AVERAGE(National_Normalized!V5,National_Normalized!V6,National_Normalized!V7,National_Normalized!V8,National_Normalized!V9),"")</f>
        <v>0.61095713075688018</v>
      </c>
      <c r="T5" s="15">
        <f>IFERROR(AVERAGE(National_Normalized!W5,National_Normalized!W6,National_Normalized!W7,National_Normalized!W8,National_Normalized!W9),"")</f>
        <v>0.71930835261248249</v>
      </c>
      <c r="U5" s="15">
        <f>IFERROR(AVERAGE(National_Normalized!X5,National_Normalized!X6,National_Normalized!X7,National_Normalized!X8,National_Normalized!X9),"")</f>
        <v>0.35244649245900789</v>
      </c>
      <c r="V5" s="15">
        <f>IFERROR(AVERAGE(National_Normalized!Y5,National_Normalized!Y6,National_Normalized!Y7,National_Normalized!Y8,National_Normalized!Y9),"")</f>
        <v>0.61473420057900652</v>
      </c>
      <c r="W5" s="15">
        <f>IFERROR(AVERAGE(National_Normalized!Z5,National_Normalized!Z6,National_Normalized!Z7,National_Normalized!Z8,National_Normalized!Z9),"")</f>
        <v>0.77058494835716362</v>
      </c>
      <c r="X5" s="15">
        <f>IFERROR(AVERAGE(National_Normalized!AA5,National_Normalized!AA6,National_Normalized!AA7,National_Normalized!AA8,National_Normalized!AA9),"")</f>
        <v>0.75351221855602313</v>
      </c>
      <c r="Y5" s="15">
        <f>IFERROR(AVERAGE(National_Normalized!AB5,National_Normalized!AB6,National_Normalized!AB7,National_Normalized!AB8,National_Normalized!AB9),"")</f>
        <v>0.95723404255319122</v>
      </c>
      <c r="Z5" s="15">
        <f>IFERROR(AVERAGE(National_Normalized!AC5,National_Normalized!AC6,National_Normalized!AC7,National_Normalized!AC8,National_Normalized!AC9),"")</f>
        <v>0.91117052881758764</v>
      </c>
      <c r="AA5" s="15">
        <f>IFERROR(AVERAGE(National_Normalized!AD5,National_Normalized!AD6,National_Normalized!AD7,National_Normalized!AD8,National_Normalized!AD9),"")</f>
        <v>0.9354791974817005</v>
      </c>
    </row>
    <row r="6" spans="1:27" ht="15" customHeight="1">
      <c r="A6" s="7" t="s">
        <v>135</v>
      </c>
      <c r="B6" s="4" t="s">
        <v>136</v>
      </c>
      <c r="C6" s="15">
        <f>IFERROR(AVERAGE(National_Normalized!F10,National_Normalized!F11,National_Normalized!F12,National_Normalized!F13),"")</f>
        <v>0.67372881355932202</v>
      </c>
      <c r="D6" s="15">
        <f>IFERROR(AVERAGE(National_Normalized!G10,National_Normalized!G11,National_Normalized!G12,National_Normalized!G13),"")</f>
        <v>0.68056909117460351</v>
      </c>
      <c r="E6" s="15">
        <f>IFERROR(AVERAGE(National_Normalized!H10,National_Normalized!H11,National_Normalized!H12,National_Normalized!H13),"")</f>
        <v>0.68915762053813678</v>
      </c>
      <c r="F6" s="15">
        <f>IFERROR(AVERAGE(National_Normalized!I10,National_Normalized!I11,National_Normalized!I12,National_Normalized!I13),"")</f>
        <v>0.69967436874165312</v>
      </c>
      <c r="G6" s="15">
        <f>IFERROR(AVERAGE(National_Normalized!J10,National_Normalized!J11,National_Normalized!J12,National_Normalized!J13),"")</f>
        <v>0.60425891355533956</v>
      </c>
      <c r="H6" s="15">
        <f>IFERROR(AVERAGE(National_Normalized!K10,National_Normalized!K11,National_Normalized!K12,National_Normalized!K13),"")</f>
        <v>0.52754086265965017</v>
      </c>
      <c r="I6" s="15">
        <f>IFERROR(AVERAGE(National_Normalized!L10,National_Normalized!L11,National_Normalized!L12,National_Normalized!L13),"")</f>
        <v>0.61607704905209659</v>
      </c>
      <c r="J6" s="15">
        <f>IFERROR(AVERAGE(National_Normalized!M10,National_Normalized!M11,National_Normalized!M12,National_Normalized!M13),"")</f>
        <v>0.45037594730894975</v>
      </c>
      <c r="K6" s="15">
        <f>IFERROR(AVERAGE(National_Normalized!N10,National_Normalized!N11,National_Normalized!N12,National_Normalized!N13),"")</f>
        <v>0.49107860702784839</v>
      </c>
      <c r="L6" s="15">
        <f>IFERROR(AVERAGE(National_Normalized!O10,National_Normalized!O11,National_Normalized!O12,National_Normalized!O13),"")</f>
        <v>0.53352951849499874</v>
      </c>
      <c r="M6" s="15">
        <f>IFERROR(AVERAGE(National_Normalized!P10,National_Normalized!P11,National_Normalized!P12,National_Normalized!P13),"")</f>
        <v>0.49487521485739172</v>
      </c>
      <c r="N6" s="15">
        <f>IFERROR(AVERAGE(National_Normalized!Q10,National_Normalized!Q11,National_Normalized!Q12,National_Normalized!Q13),"")</f>
        <v>0.46700455678658048</v>
      </c>
      <c r="O6" s="15">
        <f>IFERROR(AVERAGE(National_Normalized!R10,National_Normalized!R11,National_Normalized!R12,National_Normalized!R13),"")</f>
        <v>0.45975952184637786</v>
      </c>
      <c r="P6" s="15">
        <f>IFERROR(AVERAGE(National_Normalized!S10,National_Normalized!S11,National_Normalized!S12,National_Normalized!S13),"")</f>
        <v>0.46098906317736127</v>
      </c>
      <c r="Q6" s="15">
        <f>IFERROR(AVERAGE(National_Normalized!T10,National_Normalized!T11,National_Normalized!T12,National_Normalized!T13),"")</f>
        <v>0.41732076378394278</v>
      </c>
      <c r="R6" s="15">
        <f>IFERROR(AVERAGE(National_Normalized!U10,National_Normalized!U11,National_Normalized!U12,National_Normalized!U13),"")</f>
        <v>0.41178805761086323</v>
      </c>
      <c r="S6" s="15">
        <f>IFERROR(AVERAGE(National_Normalized!V10,National_Normalized!V11,National_Normalized!V12,National_Normalized!V13),"")</f>
        <v>0.33348066849360902</v>
      </c>
      <c r="T6" s="15">
        <f>IFERROR(AVERAGE(National_Normalized!W10,National_Normalized!W11,National_Normalized!W12,National_Normalized!W13),"")</f>
        <v>0.35511994288234056</v>
      </c>
      <c r="U6" s="15">
        <f>IFERROR(AVERAGE(National_Normalized!X10,National_Normalized!X11,National_Normalized!X12,National_Normalized!X13),"")</f>
        <v>0.33788283941164338</v>
      </c>
      <c r="V6" s="15">
        <f>IFERROR(AVERAGE(National_Normalized!Y10,National_Normalized!Y11,National_Normalized!Y12,National_Normalized!Y13),"")</f>
        <v>0.32060981295981777</v>
      </c>
      <c r="W6" s="15">
        <f>IFERROR(AVERAGE(National_Normalized!Z10,National_Normalized!Z11,National_Normalized!Z12,National_Normalized!Z13),"")</f>
        <v>0.32281089841883487</v>
      </c>
      <c r="X6" s="15">
        <f>IFERROR(AVERAGE(National_Normalized!AA10,National_Normalized!AA11,National_Normalized!AA12,National_Normalized!AA13),"")</f>
        <v>0.2953509669286995</v>
      </c>
      <c r="Y6" s="15">
        <f>IFERROR(AVERAGE(National_Normalized!AB10,National_Normalized!AB11,National_Normalized!AB12,National_Normalized!AB13),"")</f>
        <v>0.25387756884533674</v>
      </c>
      <c r="Z6" s="15">
        <f>IFERROR(AVERAGE(National_Normalized!AC10,National_Normalized!AC11,National_Normalized!AC12,National_Normalized!AC13),"")</f>
        <v>0.28920025176888153</v>
      </c>
      <c r="AA6" s="15">
        <f>IFERROR(AVERAGE(National_Normalized!AD10,National_Normalized!AD11,National_Normalized!AD12,National_Normalized!AD13),"")</f>
        <v>0.2711864406779661</v>
      </c>
    </row>
    <row r="7" spans="1:27" ht="15" customHeight="1">
      <c r="A7" s="7" t="s">
        <v>137</v>
      </c>
      <c r="B7" s="4" t="s">
        <v>138</v>
      </c>
      <c r="C7" s="15">
        <f>IFERROR(AVERAGE(National_Normalized!F14,National_Normalized!F15,National_Normalized!F16),"")</f>
        <v>0.66666666666666663</v>
      </c>
      <c r="D7" s="15">
        <f>IFERROR(AVERAGE(National_Normalized!G14,National_Normalized!G15,National_Normalized!G16),"")</f>
        <v>0.69603309149091397</v>
      </c>
      <c r="E7" s="15">
        <f>IFERROR(AVERAGE(National_Normalized!H14,National_Normalized!H15,National_Normalized!H16),"")</f>
        <v>0.73633114008023881</v>
      </c>
      <c r="F7" s="15">
        <f>IFERROR(AVERAGE(National_Normalized!I14,National_Normalized!I15,National_Normalized!I16),"")</f>
        <v>0.76089102801431563</v>
      </c>
      <c r="G7" s="15">
        <f>IFERROR(AVERAGE(National_Normalized!J14,National_Normalized!J15,National_Normalized!J16),"")</f>
        <v>0.67626241959334976</v>
      </c>
      <c r="H7" s="15">
        <f>IFERROR(AVERAGE(National_Normalized!K14,National_Normalized!K15,National_Normalized!K16),"")</f>
        <v>0.53944283143994765</v>
      </c>
      <c r="I7" s="15">
        <f>IFERROR(AVERAGE(National_Normalized!L14,National_Normalized!L15,National_Normalized!L16),"")</f>
        <v>0.56448337306304153</v>
      </c>
      <c r="J7" s="15">
        <f>IFERROR(AVERAGE(National_Normalized!M14,National_Normalized!M15,National_Normalized!M16),"")</f>
        <v>0.58856260730810128</v>
      </c>
      <c r="K7" s="15">
        <f>IFERROR(AVERAGE(National_Normalized!N14,National_Normalized!N15,National_Normalized!N16),"")</f>
        <v>0.55372171017448601</v>
      </c>
      <c r="L7" s="15">
        <f>IFERROR(AVERAGE(National_Normalized!O14,National_Normalized!O15,National_Normalized!O16),"")</f>
        <v>0.57924290548659696</v>
      </c>
      <c r="M7" s="15">
        <f>IFERROR(AVERAGE(National_Normalized!P14,National_Normalized!P15,National_Normalized!P16),"")</f>
        <v>0.66128096373229761</v>
      </c>
      <c r="N7" s="15">
        <f>IFERROR(AVERAGE(National_Normalized!Q14,National_Normalized!Q15,National_Normalized!Q16),"")</f>
        <v>0.69340789960833227</v>
      </c>
      <c r="O7" s="15">
        <f>IFERROR(AVERAGE(National_Normalized!R14,National_Normalized!R15,National_Normalized!R16),"")</f>
        <v>0.6097405985654003</v>
      </c>
      <c r="P7" s="15">
        <f>IFERROR(AVERAGE(National_Normalized!S14,National_Normalized!S15,National_Normalized!S16),"")</f>
        <v>0.58138722716949098</v>
      </c>
      <c r="Q7" s="15">
        <f>IFERROR(AVERAGE(National_Normalized!T14,National_Normalized!T15,National_Normalized!T16),"")</f>
        <v>0.50120271677589623</v>
      </c>
      <c r="R7" s="15">
        <f>IFERROR(AVERAGE(National_Normalized!U14,National_Normalized!U15,National_Normalized!U16),"")</f>
        <v>0.52263965479538654</v>
      </c>
      <c r="S7" s="15">
        <f>IFERROR(AVERAGE(National_Normalized!V14,National_Normalized!V15,National_Normalized!V16),"")</f>
        <v>0.4429357980908088</v>
      </c>
      <c r="T7" s="15">
        <f>IFERROR(AVERAGE(National_Normalized!W14,National_Normalized!W15,National_Normalized!W16),"")</f>
        <v>0.4178261895637525</v>
      </c>
      <c r="U7" s="15">
        <f>IFERROR(AVERAGE(National_Normalized!X14,National_Normalized!X15,National_Normalized!X16),"")</f>
        <v>0.33704021252687427</v>
      </c>
      <c r="V7" s="15">
        <f>IFERROR(AVERAGE(National_Normalized!Y14,National_Normalized!Y15,National_Normalized!Y16),"")</f>
        <v>0.31685535571620654</v>
      </c>
      <c r="W7" s="15">
        <f>IFERROR(AVERAGE(National_Normalized!Z14,National_Normalized!Z15,National_Normalized!Z16),"")</f>
        <v>0.28484923279443813</v>
      </c>
      <c r="X7" s="15">
        <f>IFERROR(AVERAGE(National_Normalized!AA14,National_Normalized!AA15,National_Normalized!AA16),"")</f>
        <v>0.1743861381208173</v>
      </c>
      <c r="Y7" s="15">
        <f>IFERROR(AVERAGE(National_Normalized!AB14,National_Normalized!AB15,National_Normalized!AB16),"")</f>
        <v>0.1508341073589812</v>
      </c>
      <c r="Z7" s="15">
        <f>IFERROR(AVERAGE(National_Normalized!AC14,National_Normalized!AC15,National_Normalized!AC16),"")</f>
        <v>4.2414440395694912E-2</v>
      </c>
      <c r="AA7" s="15">
        <f>IFERROR(AVERAGE(National_Normalized!AD14,National_Normalized!AD15,National_Normalized!AD16),"")</f>
        <v>0</v>
      </c>
    </row>
    <row r="8" spans="1:27" ht="15" customHeight="1">
      <c r="A8" s="7" t="s">
        <v>139</v>
      </c>
      <c r="B8" s="4" t="s">
        <v>140</v>
      </c>
      <c r="C8" s="15">
        <f>IFERROR(AVERAGE(National_Normalized!F17,National_Normalized!F18,National_Normalized!F19,National_Normalized!F20,National_Normalized!F21,National_Normalized!F22,National_Normalized!F23),"")</f>
        <v>0.98229166666666679</v>
      </c>
      <c r="D8" s="15">
        <f>IFERROR(AVERAGE(National_Normalized!G17,National_Normalized!G18,National_Normalized!G19,National_Normalized!G20,National_Normalized!G21,National_Normalized!G22,National_Normalized!G23),"")</f>
        <v>0.9374280587578131</v>
      </c>
      <c r="E8" s="15">
        <f>IFERROR(AVERAGE(National_Normalized!H17,National_Normalized!H18,National_Normalized!H19,National_Normalized!H20,National_Normalized!H21,National_Normalized!H22,National_Normalized!H23),"")</f>
        <v>0.8974343549256979</v>
      </c>
      <c r="F8" s="15">
        <f>IFERROR(AVERAGE(National_Normalized!I17,National_Normalized!I18,National_Normalized!I19,National_Normalized!I20,National_Normalized!I21,National_Normalized!I22,National_Normalized!I23),"")</f>
        <v>0.8606791265782554</v>
      </c>
      <c r="G8" s="15">
        <f>IFERROR(AVERAGE(National_Normalized!J17,National_Normalized!J18,National_Normalized!J19,National_Normalized!J20,National_Normalized!J21,National_Normalized!J22,National_Normalized!J23),"")</f>
        <v>0.78549564204058442</v>
      </c>
      <c r="H8" s="15">
        <f>IFERROR(AVERAGE(National_Normalized!K17,National_Normalized!K18,National_Normalized!K19,National_Normalized!K20,National_Normalized!K21,National_Normalized!K22,National_Normalized!K23),"")</f>
        <v>0.74260265763292987</v>
      </c>
      <c r="I8" s="15">
        <f>IFERROR(AVERAGE(National_Normalized!L17,National_Normalized!L18,National_Normalized!L19,National_Normalized!L20,National_Normalized!L21,National_Normalized!L22,National_Normalized!L23),"")</f>
        <v>0.70465624969903595</v>
      </c>
      <c r="J8" s="15">
        <f>IFERROR(AVERAGE(National_Normalized!M17,National_Normalized!M18,National_Normalized!M19,National_Normalized!M20,National_Normalized!M21,National_Normalized!M22,National_Normalized!M23),"")</f>
        <v>0.66683630685812789</v>
      </c>
      <c r="K8" s="15">
        <f>IFERROR(AVERAGE(National_Normalized!N17,National_Normalized!N18,National_Normalized!N19,National_Normalized!N20,National_Normalized!N21,National_Normalized!N22,National_Normalized!N23),"")</f>
        <v>0.62038536881338302</v>
      </c>
      <c r="L8" s="15">
        <f>IFERROR(AVERAGE(National_Normalized!O17,National_Normalized!O18,National_Normalized!O19,National_Normalized!O20,National_Normalized!O21,National_Normalized!O22,National_Normalized!O23),"")</f>
        <v>0.57035795821174395</v>
      </c>
      <c r="M8" s="15">
        <f>IFERROR(AVERAGE(National_Normalized!P17,National_Normalized!P18,National_Normalized!P19,National_Normalized!P20,National_Normalized!P21,National_Normalized!P22,National_Normalized!P23),"")</f>
        <v>0.48516897807055565</v>
      </c>
      <c r="N8" s="15">
        <f>IFERROR(AVERAGE(National_Normalized!Q17,National_Normalized!Q18,National_Normalized!Q19,National_Normalized!Q20,National_Normalized!Q21,National_Normalized!Q22,National_Normalized!Q23),"")</f>
        <v>0.43696570936022266</v>
      </c>
      <c r="O8" s="15">
        <f>IFERROR(AVERAGE(National_Normalized!R17,National_Normalized!R18,National_Normalized!R19,National_Normalized!R20,National_Normalized!R21,National_Normalized!R22,National_Normalized!R23),"")</f>
        <v>0.38644279636531742</v>
      </c>
      <c r="P8" s="15">
        <f>IFERROR(AVERAGE(National_Normalized!S17,National_Normalized!S18,National_Normalized!S19,National_Normalized!S20,National_Normalized!S21,National_Normalized!S22,National_Normalized!S23),"")</f>
        <v>0.35883368485934147</v>
      </c>
      <c r="Q8" s="15">
        <f>IFERROR(AVERAGE(National_Normalized!T17,National_Normalized!T18,National_Normalized!T19,National_Normalized!T20,National_Normalized!T21,National_Normalized!T22,National_Normalized!T23),"")</f>
        <v>0.33437029051457634</v>
      </c>
      <c r="R8" s="15">
        <f>IFERROR(AVERAGE(National_Normalized!U17,National_Normalized!U18,National_Normalized!U19,National_Normalized!U20,National_Normalized!U21,National_Normalized!U22,National_Normalized!U23),"")</f>
        <v>0.29864946837710554</v>
      </c>
      <c r="S8" s="15">
        <f>IFERROR(AVERAGE(National_Normalized!V17,National_Normalized!V18,National_Normalized!V19,National_Normalized!V20,National_Normalized!V21,National_Normalized!V22,National_Normalized!V23),"")</f>
        <v>0.28215916182716483</v>
      </c>
      <c r="T8" s="15">
        <f>IFERROR(AVERAGE(National_Normalized!W17,National_Normalized!W18,National_Normalized!W19,National_Normalized!W20,National_Normalized!W21,National_Normalized!W22,National_Normalized!W23),"")</f>
        <v>0.36306809271458335</v>
      </c>
      <c r="U8" s="15">
        <f>IFERROR(AVERAGE(National_Normalized!X17,National_Normalized!X18,National_Normalized!X19,National_Normalized!X20,National_Normalized!X21,National_Normalized!X22,National_Normalized!X23),"")</f>
        <v>0.2773966189407</v>
      </c>
      <c r="V8" s="15">
        <f>IFERROR(AVERAGE(National_Normalized!Y17,National_Normalized!Y18,National_Normalized!Y19,National_Normalized!Y20,National_Normalized!Y21,National_Normalized!Y22,National_Normalized!Y23),"")</f>
        <v>0.34285549427771189</v>
      </c>
      <c r="W8" s="15">
        <f>IFERROR(AVERAGE(National_Normalized!Z17,National_Normalized!Z18,National_Normalized!Z19,National_Normalized!Z20,National_Normalized!Z21,National_Normalized!Z22,National_Normalized!Z23),"")</f>
        <v>0.24332334453201007</v>
      </c>
      <c r="X8" s="15">
        <f>IFERROR(AVERAGE(National_Normalized!AA17,National_Normalized!AA18,National_Normalized!AA19,National_Normalized!AA20,National_Normalized!AA21,National_Normalized!AA22,National_Normalized!AA23),"")</f>
        <v>0.18473077601132984</v>
      </c>
      <c r="Y8" s="15">
        <f>IFERROR(AVERAGE(National_Normalized!AB17,National_Normalized!AB18,National_Normalized!AB19,National_Normalized!AB20,National_Normalized!AB21,National_Normalized!AB22,National_Normalized!AB23),"")</f>
        <v>0.14295470695888907</v>
      </c>
      <c r="Z8" s="15">
        <f>IFERROR(AVERAGE(National_Normalized!AC17,National_Normalized!AC18,National_Normalized!AC19,National_Normalized!AC20,National_Normalized!AC21,National_Normalized!AC22,National_Normalized!AC23),"")</f>
        <v>5.3129784781156313E-2</v>
      </c>
      <c r="AA8" s="15">
        <f>IFERROR(AVERAGE(National_Normalized!AD17,National_Normalized!AD18,National_Normalized!AD19,National_Normalized!AD20,National_Normalized!AD21,National_Normalized!AD22,National_Normalized!AD23),"")</f>
        <v>0</v>
      </c>
    </row>
    <row r="10" spans="1:27" ht="15" customHeight="1">
      <c r="A10" s="7" t="s">
        <v>141</v>
      </c>
      <c r="B10" s="2" t="s">
        <v>142</v>
      </c>
      <c r="C10" s="16">
        <f t="shared" ref="C10:AA10" si="0">IFERROR(wE*C5 + wS*C6 + wAC*C7 + wT*C8,"")</f>
        <v>0.65203830113195771</v>
      </c>
      <c r="D10" s="16">
        <f t="shared" si="0"/>
        <v>0.65960684058350294</v>
      </c>
      <c r="E10" s="16">
        <f t="shared" si="0"/>
        <v>0.63143201869176702</v>
      </c>
      <c r="F10" s="16">
        <f t="shared" si="0"/>
        <v>0.67128449930203693</v>
      </c>
      <c r="G10" s="16">
        <f t="shared" si="0"/>
        <v>0.56912055530336669</v>
      </c>
      <c r="H10" s="16">
        <f t="shared" si="0"/>
        <v>0.54639770385561781</v>
      </c>
      <c r="I10" s="16">
        <f t="shared" si="0"/>
        <v>0.54649096376825113</v>
      </c>
      <c r="J10" s="16">
        <f t="shared" si="0"/>
        <v>0.52848283491728754</v>
      </c>
      <c r="K10" s="16">
        <f t="shared" si="0"/>
        <v>0.4827015314658738</v>
      </c>
      <c r="L10" s="16">
        <f t="shared" si="0"/>
        <v>0.48104301689927353</v>
      </c>
      <c r="M10" s="16">
        <f t="shared" si="0"/>
        <v>0.46961079626495283</v>
      </c>
      <c r="N10" s="16">
        <f t="shared" si="0"/>
        <v>0.48583125861630638</v>
      </c>
      <c r="O10" s="16">
        <f t="shared" si="0"/>
        <v>0.45770159280419742</v>
      </c>
      <c r="P10" s="16">
        <f t="shared" si="0"/>
        <v>0.40495919362185723</v>
      </c>
      <c r="Q10" s="16">
        <f t="shared" si="0"/>
        <v>0.41642453267284218</v>
      </c>
      <c r="R10" s="16">
        <f t="shared" si="0"/>
        <v>0.40195006551740714</v>
      </c>
      <c r="S10" s="16">
        <f t="shared" si="0"/>
        <v>0.40934435797893348</v>
      </c>
      <c r="T10" s="16">
        <f t="shared" si="0"/>
        <v>0.46109273960083125</v>
      </c>
      <c r="U10" s="16">
        <f t="shared" si="0"/>
        <v>0.32320936115524768</v>
      </c>
      <c r="V10" s="16">
        <f t="shared" si="0"/>
        <v>0.4000637228112609</v>
      </c>
      <c r="W10" s="16">
        <f t="shared" si="0"/>
        <v>0.4033158116124903</v>
      </c>
      <c r="X10" s="16">
        <f t="shared" si="0"/>
        <v>0.35251225679874304</v>
      </c>
      <c r="Y10" s="16">
        <f t="shared" si="0"/>
        <v>0.37583113640909493</v>
      </c>
      <c r="Z10" s="16">
        <f t="shared" si="0"/>
        <v>0.32451451866010317</v>
      </c>
      <c r="AA10" s="16">
        <f t="shared" si="0"/>
        <v>0.30166640953991664</v>
      </c>
    </row>
  </sheetData>
  <mergeCells count="2">
    <mergeCell ref="A1:AA1"/>
    <mergeCell ref="A2:AA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0"/>
  <sheetViews>
    <sheetView zoomScaleNormal="100" workbookViewId="0">
      <pane xSplit="1" ySplit="8" topLeftCell="B9" activePane="bottomRight" state="frozen"/>
      <selection pane="bottomRight"/>
      <selection pane="bottomLeft" activeCell="A9" sqref="A9"/>
      <selection pane="topRight" activeCell="B1" sqref="B1"/>
    </sheetView>
  </sheetViews>
  <sheetFormatPr defaultColWidth="8.5703125" defaultRowHeight="14.45"/>
  <cols>
    <col min="1" max="1" width="32" customWidth="1"/>
    <col min="2" max="2" width="14.5703125" bestFit="1" customWidth="1"/>
    <col min="3" max="12" width="12" customWidth="1"/>
  </cols>
  <sheetData>
    <row r="1" spans="1:13" ht="17.25" customHeight="1">
      <c r="A1" s="32" t="s">
        <v>143</v>
      </c>
      <c r="B1" s="32"/>
      <c r="C1" s="32"/>
      <c r="D1" s="32"/>
      <c r="E1" s="32"/>
      <c r="F1" s="32"/>
      <c r="G1" s="32"/>
      <c r="H1" s="32"/>
      <c r="I1" s="32"/>
      <c r="J1" s="32"/>
      <c r="K1" s="32"/>
      <c r="L1" s="32"/>
      <c r="M1" s="32"/>
    </row>
    <row r="2" spans="1:13" ht="15" customHeight="1">
      <c r="A2" s="35" t="s">
        <v>144</v>
      </c>
      <c r="B2" s="35"/>
      <c r="C2" s="35"/>
      <c r="D2" s="35"/>
      <c r="E2" s="35"/>
      <c r="F2" s="35"/>
      <c r="G2" s="35"/>
      <c r="H2" s="35"/>
      <c r="I2" s="35"/>
      <c r="J2" s="35"/>
      <c r="K2" s="35"/>
      <c r="L2" s="35"/>
      <c r="M2" s="35"/>
    </row>
    <row r="4" spans="1:13" ht="15" customHeight="1">
      <c r="A4" s="3" t="s">
        <v>145</v>
      </c>
      <c r="B4" s="3" t="s">
        <v>65</v>
      </c>
      <c r="C4" s="3" t="s">
        <v>72</v>
      </c>
      <c r="D4" s="3" t="s">
        <v>76</v>
      </c>
      <c r="E4" s="3" t="s">
        <v>146</v>
      </c>
      <c r="F4" s="3" t="s">
        <v>82</v>
      </c>
      <c r="G4" s="3" t="s">
        <v>147</v>
      </c>
      <c r="H4" s="3" t="s">
        <v>148</v>
      </c>
      <c r="I4" s="3" t="s">
        <v>104</v>
      </c>
      <c r="J4" s="3" t="s">
        <v>108</v>
      </c>
      <c r="K4" s="3" t="s">
        <v>149</v>
      </c>
      <c r="L4" s="3" t="s">
        <v>150</v>
      </c>
    </row>
    <row r="5" spans="1:13" ht="31.5" customHeight="1">
      <c r="A5" s="17"/>
      <c r="B5" s="17" t="s">
        <v>66</v>
      </c>
      <c r="C5" s="17" t="s">
        <v>73</v>
      </c>
      <c r="D5" s="17" t="s">
        <v>151</v>
      </c>
      <c r="E5" s="17" t="s">
        <v>152</v>
      </c>
      <c r="F5" s="17" t="s">
        <v>153</v>
      </c>
      <c r="G5" s="17" t="s">
        <v>154</v>
      </c>
      <c r="H5" s="17" t="s">
        <v>155</v>
      </c>
      <c r="I5" s="17" t="s">
        <v>156</v>
      </c>
      <c r="J5" s="17" t="s">
        <v>157</v>
      </c>
      <c r="K5" s="17" t="s">
        <v>158</v>
      </c>
      <c r="L5" s="17" t="s">
        <v>159</v>
      </c>
    </row>
    <row r="6" spans="1:13" ht="15" customHeight="1">
      <c r="A6" s="18"/>
      <c r="B6" s="18" t="s">
        <v>67</v>
      </c>
      <c r="C6" s="18" t="s">
        <v>74</v>
      </c>
      <c r="D6" s="18" t="s">
        <v>160</v>
      </c>
      <c r="E6" s="18" t="s">
        <v>161</v>
      </c>
      <c r="F6" s="18" t="s">
        <v>115</v>
      </c>
      <c r="G6" s="18" t="s">
        <v>115</v>
      </c>
      <c r="H6" s="18" t="s">
        <v>162</v>
      </c>
      <c r="I6" s="18" t="s">
        <v>163</v>
      </c>
      <c r="J6" s="18" t="s">
        <v>110</v>
      </c>
      <c r="K6" s="18" t="s">
        <v>164</v>
      </c>
      <c r="L6" s="18" t="s">
        <v>100</v>
      </c>
    </row>
    <row r="7" spans="1:13" ht="15" customHeight="1">
      <c r="A7" s="18"/>
      <c r="B7" s="18" t="s">
        <v>165</v>
      </c>
      <c r="C7" s="18" t="s">
        <v>166</v>
      </c>
      <c r="D7" s="18" t="s">
        <v>166</v>
      </c>
      <c r="E7" s="18" t="s">
        <v>166</v>
      </c>
      <c r="F7" s="18" t="s">
        <v>165</v>
      </c>
      <c r="G7" s="18" t="s">
        <v>165</v>
      </c>
      <c r="H7" s="18" t="s">
        <v>167</v>
      </c>
      <c r="I7" s="18" t="s">
        <v>166</v>
      </c>
      <c r="J7" s="18" t="s">
        <v>166</v>
      </c>
      <c r="K7" s="18" t="s">
        <v>166</v>
      </c>
      <c r="L7" s="18" t="s">
        <v>165</v>
      </c>
    </row>
    <row r="8" spans="1:13" ht="15" customHeight="1">
      <c r="A8" s="18"/>
      <c r="B8" s="18" t="s">
        <v>168</v>
      </c>
      <c r="C8" s="18" t="s">
        <v>168</v>
      </c>
      <c r="D8" s="18" t="s">
        <v>168</v>
      </c>
      <c r="E8" s="18" t="s">
        <v>169</v>
      </c>
      <c r="F8" s="18" t="s">
        <v>170</v>
      </c>
      <c r="G8" s="18" t="s">
        <v>170</v>
      </c>
      <c r="H8" s="18" t="s">
        <v>171</v>
      </c>
      <c r="I8" s="18" t="s">
        <v>172</v>
      </c>
      <c r="J8" s="18" t="s">
        <v>172</v>
      </c>
      <c r="K8" s="18" t="s">
        <v>172</v>
      </c>
      <c r="L8" s="18" t="s">
        <v>170</v>
      </c>
    </row>
    <row r="9" spans="1:13" ht="15" customHeight="1">
      <c r="A9" s="7" t="s">
        <v>173</v>
      </c>
      <c r="B9" s="11">
        <v>18.5</v>
      </c>
      <c r="C9" s="19">
        <v>700</v>
      </c>
      <c r="D9" s="11">
        <v>-0.2</v>
      </c>
      <c r="E9" s="19">
        <v>33500</v>
      </c>
      <c r="F9" s="19">
        <v>12</v>
      </c>
      <c r="G9" s="11">
        <v>60.5</v>
      </c>
      <c r="H9" s="11">
        <v>3.95</v>
      </c>
      <c r="I9" s="19">
        <v>87</v>
      </c>
      <c r="J9" s="19">
        <v>142</v>
      </c>
      <c r="K9" s="19">
        <v>1450</v>
      </c>
      <c r="L9" s="11">
        <v>0.55000000000000004</v>
      </c>
    </row>
    <row r="10" spans="1:13" ht="15" customHeight="1">
      <c r="A10" s="7" t="s">
        <v>174</v>
      </c>
      <c r="B10" s="11">
        <v>17.8</v>
      </c>
      <c r="C10" s="19">
        <v>320</v>
      </c>
      <c r="D10" s="11">
        <v>-0.95</v>
      </c>
      <c r="E10" s="19">
        <v>27800</v>
      </c>
      <c r="F10" s="19">
        <v>18</v>
      </c>
      <c r="G10" s="11">
        <v>65</v>
      </c>
      <c r="H10" s="11">
        <v>2.4</v>
      </c>
      <c r="I10" s="19">
        <v>82</v>
      </c>
      <c r="J10" s="19">
        <v>138</v>
      </c>
      <c r="K10" s="19">
        <v>1100</v>
      </c>
      <c r="L10" s="11">
        <v>0.7</v>
      </c>
    </row>
    <row r="11" spans="1:13" ht="15" customHeight="1">
      <c r="A11" s="7" t="s">
        <v>175</v>
      </c>
      <c r="B11" s="11">
        <v>16.5</v>
      </c>
      <c r="C11" s="19">
        <v>480</v>
      </c>
      <c r="D11" s="11">
        <v>-0.4</v>
      </c>
      <c r="E11" s="19">
        <v>26900</v>
      </c>
      <c r="F11" s="19">
        <v>19</v>
      </c>
      <c r="G11" s="11">
        <v>60</v>
      </c>
      <c r="H11" s="11">
        <v>4.55</v>
      </c>
      <c r="I11" s="19">
        <v>84</v>
      </c>
      <c r="J11" s="19">
        <v>140</v>
      </c>
      <c r="K11" s="19">
        <v>290</v>
      </c>
      <c r="L11" s="11">
        <v>0.6</v>
      </c>
    </row>
    <row r="12" spans="1:13" ht="15" customHeight="1">
      <c r="A12" s="7" t="s">
        <v>176</v>
      </c>
      <c r="B12" s="11">
        <v>18</v>
      </c>
      <c r="C12" s="19">
        <v>510</v>
      </c>
      <c r="D12" s="11">
        <v>-0.3</v>
      </c>
      <c r="E12" s="19">
        <v>43124</v>
      </c>
      <c r="F12" s="19">
        <v>10</v>
      </c>
      <c r="G12" s="11">
        <v>73</v>
      </c>
      <c r="H12" s="11">
        <v>5.2</v>
      </c>
      <c r="I12" s="19">
        <v>92</v>
      </c>
      <c r="J12" s="19">
        <v>150</v>
      </c>
      <c r="K12" s="19">
        <v>220</v>
      </c>
      <c r="L12" s="11">
        <v>0.55000000000000004</v>
      </c>
    </row>
    <row r="13" spans="1:13" ht="15" customHeight="1">
      <c r="A13" s="7" t="s">
        <v>177</v>
      </c>
      <c r="B13" s="11">
        <v>17.2</v>
      </c>
      <c r="C13" s="19">
        <v>380</v>
      </c>
      <c r="D13" s="11">
        <v>-0.7</v>
      </c>
      <c r="E13" s="19">
        <v>23400</v>
      </c>
      <c r="F13" s="19">
        <v>24</v>
      </c>
      <c r="G13" s="11">
        <v>49.5</v>
      </c>
      <c r="H13" s="11">
        <v>2.65</v>
      </c>
      <c r="I13" s="19">
        <v>78</v>
      </c>
      <c r="J13" s="19">
        <v>132</v>
      </c>
      <c r="K13" s="19">
        <v>460</v>
      </c>
      <c r="L13" s="11">
        <v>0.65</v>
      </c>
    </row>
    <row r="14" spans="1:13" ht="15" customHeight="1">
      <c r="A14" s="7" t="s">
        <v>178</v>
      </c>
      <c r="B14" s="11">
        <v>18.7</v>
      </c>
      <c r="C14" s="19">
        <v>410</v>
      </c>
      <c r="D14" s="11">
        <v>-0.45</v>
      </c>
      <c r="E14" s="19">
        <v>54997</v>
      </c>
      <c r="F14" s="19">
        <v>6</v>
      </c>
      <c r="G14" s="11">
        <v>78</v>
      </c>
      <c r="H14" s="11">
        <v>7.2</v>
      </c>
      <c r="I14" s="19">
        <v>95</v>
      </c>
      <c r="J14" s="19">
        <v>155</v>
      </c>
      <c r="K14" s="19">
        <v>380</v>
      </c>
      <c r="L14" s="11">
        <v>0.6</v>
      </c>
    </row>
    <row r="15" spans="1:13" ht="15" customHeight="1">
      <c r="A15" s="7" t="s">
        <v>179</v>
      </c>
      <c r="B15" s="11">
        <v>19.8</v>
      </c>
      <c r="C15" s="19">
        <v>280</v>
      </c>
      <c r="D15" s="11">
        <v>-1</v>
      </c>
      <c r="E15" s="19">
        <v>22730</v>
      </c>
      <c r="F15" s="19">
        <v>18</v>
      </c>
      <c r="G15" s="11">
        <v>47.5</v>
      </c>
      <c r="H15" s="11">
        <v>4.8499999999999996</v>
      </c>
      <c r="I15" s="19">
        <v>80</v>
      </c>
      <c r="J15" s="19">
        <v>135</v>
      </c>
      <c r="K15" s="19">
        <v>580</v>
      </c>
      <c r="L15" s="11">
        <v>0.75</v>
      </c>
    </row>
    <row r="16" spans="1:13" ht="15" customHeight="1">
      <c r="A16" s="7" t="s">
        <v>180</v>
      </c>
      <c r="B16" s="11">
        <v>20.5</v>
      </c>
      <c r="C16" s="19">
        <v>130</v>
      </c>
      <c r="D16" s="11">
        <v>-1.55</v>
      </c>
      <c r="E16" s="19">
        <v>19600</v>
      </c>
      <c r="F16" s="19">
        <v>22</v>
      </c>
      <c r="G16" s="11">
        <v>36</v>
      </c>
      <c r="H16" s="11">
        <v>1.65</v>
      </c>
      <c r="I16" s="19">
        <v>70</v>
      </c>
      <c r="J16" s="19">
        <v>120</v>
      </c>
      <c r="K16" s="19">
        <v>1080</v>
      </c>
      <c r="L16" s="11">
        <v>0.85</v>
      </c>
    </row>
    <row r="17" spans="1:12" ht="15" customHeight="1">
      <c r="A17" s="7" t="s">
        <v>181</v>
      </c>
      <c r="B17" s="11">
        <v>19.5</v>
      </c>
      <c r="C17" s="19">
        <v>220</v>
      </c>
      <c r="D17" s="11">
        <v>-1.2</v>
      </c>
      <c r="E17" s="19">
        <v>31200</v>
      </c>
      <c r="F17" s="19">
        <v>16</v>
      </c>
      <c r="G17" s="11">
        <v>60</v>
      </c>
      <c r="H17" s="11">
        <v>2.85</v>
      </c>
      <c r="I17" s="19">
        <v>86</v>
      </c>
      <c r="J17" s="19">
        <v>142</v>
      </c>
      <c r="K17" s="19">
        <v>850</v>
      </c>
      <c r="L17" s="11">
        <v>0.8</v>
      </c>
    </row>
    <row r="18" spans="1:12" ht="15" customHeight="1">
      <c r="A18" s="7" t="s">
        <v>182</v>
      </c>
      <c r="B18" s="11">
        <v>20.2</v>
      </c>
      <c r="C18" s="19">
        <v>110</v>
      </c>
      <c r="D18" s="11">
        <v>-1.45</v>
      </c>
      <c r="E18" s="19">
        <v>44432</v>
      </c>
      <c r="F18" s="19">
        <v>15</v>
      </c>
      <c r="G18" s="11">
        <v>60</v>
      </c>
      <c r="H18" s="11">
        <v>0.45</v>
      </c>
      <c r="I18" s="19">
        <v>75</v>
      </c>
      <c r="J18" s="19">
        <v>128</v>
      </c>
      <c r="K18" s="19">
        <v>150</v>
      </c>
      <c r="L18" s="11">
        <v>0.85</v>
      </c>
    </row>
    <row r="19" spans="1:12" ht="15" customHeight="1">
      <c r="A19" s="7" t="s">
        <v>183</v>
      </c>
      <c r="B19" s="11">
        <v>21.5</v>
      </c>
      <c r="C19" s="19">
        <v>60</v>
      </c>
      <c r="D19" s="11">
        <v>-1.8</v>
      </c>
      <c r="E19" s="19">
        <v>71246</v>
      </c>
      <c r="F19" s="19">
        <v>8</v>
      </c>
      <c r="G19" s="11">
        <v>75</v>
      </c>
      <c r="H19" s="11">
        <v>0.4</v>
      </c>
      <c r="I19" s="19">
        <v>78</v>
      </c>
      <c r="J19" s="19">
        <v>130</v>
      </c>
      <c r="K19" s="19">
        <v>305</v>
      </c>
      <c r="L19" s="11">
        <v>0.9</v>
      </c>
    </row>
    <row r="20" spans="1:12" ht="15" customHeight="1">
      <c r="A20" s="7" t="s">
        <v>184</v>
      </c>
      <c r="B20" s="11">
        <v>22</v>
      </c>
      <c r="C20" s="19">
        <v>35</v>
      </c>
      <c r="D20" s="11">
        <v>-1.95</v>
      </c>
      <c r="E20" s="19">
        <v>80996</v>
      </c>
      <c r="F20" s="19">
        <v>6</v>
      </c>
      <c r="G20" s="11">
        <v>78</v>
      </c>
      <c r="H20" s="11">
        <v>0.18</v>
      </c>
      <c r="I20" s="19">
        <v>80</v>
      </c>
      <c r="J20" s="19">
        <v>135</v>
      </c>
      <c r="K20" s="19">
        <v>200</v>
      </c>
      <c r="L20" s="11">
        <v>0.9</v>
      </c>
    </row>
  </sheetData>
  <mergeCells count="2">
    <mergeCell ref="A1:M1"/>
    <mergeCell ref="A2:M2"/>
  </mergeCells>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5"/>
  <sheetViews>
    <sheetView tabSelected="1" zoomScaleNormal="100" workbookViewId="0">
      <pane xSplit="1" ySplit="3" topLeftCell="B4" activePane="bottomRight" state="frozen"/>
      <selection pane="bottomRight" activeCell="K3" sqref="K3"/>
      <selection pane="bottomLeft" activeCell="A4" sqref="A4"/>
      <selection pane="topRight" activeCell="B1" sqref="B1"/>
    </sheetView>
  </sheetViews>
  <sheetFormatPr defaultColWidth="8.5703125" defaultRowHeight="14.45"/>
  <cols>
    <col min="1" max="1" width="32" customWidth="1"/>
    <col min="2" max="3" width="11" customWidth="1"/>
    <col min="4" max="4" width="14.7109375" bestFit="1" customWidth="1"/>
    <col min="5" max="12" width="11" customWidth="1"/>
  </cols>
  <sheetData>
    <row r="1" spans="1:13" ht="17.25" customHeight="1">
      <c r="A1" s="32" t="s">
        <v>185</v>
      </c>
      <c r="B1" s="32"/>
      <c r="C1" s="32"/>
      <c r="D1" s="32"/>
      <c r="E1" s="32"/>
      <c r="F1" s="32"/>
      <c r="G1" s="32"/>
      <c r="H1" s="32"/>
      <c r="I1" s="32"/>
      <c r="J1" s="32"/>
      <c r="K1" s="32"/>
      <c r="L1" s="32"/>
      <c r="M1" s="32"/>
    </row>
    <row r="3" spans="1:13" ht="15" customHeight="1">
      <c r="A3" s="3" t="s">
        <v>145</v>
      </c>
      <c r="B3" s="3" t="s">
        <v>65</v>
      </c>
      <c r="C3" s="3" t="s">
        <v>72</v>
      </c>
      <c r="D3" s="3" t="s">
        <v>76</v>
      </c>
      <c r="E3" s="3" t="s">
        <v>146</v>
      </c>
      <c r="F3" s="3" t="s">
        <v>82</v>
      </c>
      <c r="G3" s="3" t="s">
        <v>147</v>
      </c>
      <c r="H3" s="3" t="s">
        <v>148</v>
      </c>
      <c r="I3" s="3" t="s">
        <v>104</v>
      </c>
      <c r="J3" s="3" t="s">
        <v>108</v>
      </c>
      <c r="K3" s="3" t="s">
        <v>149</v>
      </c>
      <c r="L3" s="3" t="s">
        <v>150</v>
      </c>
    </row>
    <row r="4" spans="1:13" ht="15" customHeight="1">
      <c r="A4" s="7" t="s">
        <v>173</v>
      </c>
      <c r="B4" s="15">
        <f>IFERROR(IF(MAX(Regional_Indicators!$B$9:$B$20)=MIN(Regional_Indicators!$B$9:$B$20),0,(Regional_Indicators!B9-MIN(Regional_Indicators!$B$9:$B$20))/(MAX(Regional_Indicators!$B$9:$B$20)-MIN(Regional_Indicators!$B$9:$B$20))),"")</f>
        <v>0.36363636363636365</v>
      </c>
      <c r="C4" s="15">
        <f>IFERROR(IF(MAX(Regional_Indicators!$C$9:$C$20)=MIN(Regional_Indicators!$C$9:$C$20),0,(MAX(Regional_Indicators!$C$9:$C$20)-Regional_Indicators!C9)/(MAX(Regional_Indicators!$C$9:$C$20)-MIN(Regional_Indicators!$C$9:$C$20))),"")</f>
        <v>0</v>
      </c>
      <c r="D4" s="15">
        <f>IFERROR(IF(MAX(Regional_Indicators!$D$9:$D$20)=MIN(Regional_Indicators!$D$9:$D$20),0,(MAX(Regional_Indicators!$D$9:$D$20)-Regional_Indicators!D9)/(MAX(Regional_Indicators!$D$9:$D$20)-MIN(Regional_Indicators!$D$9:$D$20))),"")</f>
        <v>0</v>
      </c>
      <c r="E4" s="15">
        <f>IFERROR(IF(MAX(Regional_Indicators!$E$9:$E$20)=MIN(Regional_Indicators!$E$9:$E$20),0,(MAX(Regional_Indicators!$E$9:$E$20)-Regional_Indicators!E9)/(MAX(Regional_Indicators!$E$9:$E$20)-MIN(Regional_Indicators!$E$9:$E$20))),"")</f>
        <v>0.77360088605120858</v>
      </c>
      <c r="F4" s="15">
        <f>IFERROR(IF(MAX(Regional_Indicators!$F$9:$F$20)=MIN(Regional_Indicators!$F$9:$F$20),0,(Regional_Indicators!F9-MIN(Regional_Indicators!$F$9:$F$20))/(MAX(Regional_Indicators!$F$9:$F$20)-MIN(Regional_Indicators!$F$9:$F$20))),"")</f>
        <v>0.33333333333333331</v>
      </c>
      <c r="G4" s="15">
        <f>IFERROR(IF(MAX(Regional_Indicators!$G$9:$G$20)=MIN(Regional_Indicators!$G$9:$G$20),0,(Regional_Indicators!G9-MIN(Regional_Indicators!$G$9:$G$20))/(MAX(Regional_Indicators!$G$9:$G$20)-MIN(Regional_Indicators!$G$9:$G$20))),"")</f>
        <v>0.58333333333333337</v>
      </c>
      <c r="H4" s="15">
        <f>0</f>
        <v>0</v>
      </c>
      <c r="I4" s="15">
        <f>IFERROR(IF(MAX(Regional_Indicators!$I$9:$I$20)=MIN(Regional_Indicators!$I$9:$I$20),0,(MAX(Regional_Indicators!$I$9:$I$20)-Regional_Indicators!I9)/(MAX(Regional_Indicators!$I$9:$I$20)-MIN(Regional_Indicators!$I$9:$I$20))),"")</f>
        <v>0.32</v>
      </c>
      <c r="J4" s="15">
        <f>IFERROR(IF(MAX(Regional_Indicators!$J$9:$J$20)=MIN(Regional_Indicators!$J$9:$J$20),0,(MAX(Regional_Indicators!$J$9:$J$20)-Regional_Indicators!J9)/(MAX(Regional_Indicators!$J$9:$J$20)-MIN(Regional_Indicators!$J$9:$J$20))),"")</f>
        <v>0.37142857142857144</v>
      </c>
      <c r="K4" s="15">
        <f>IFERROR(IF(MAX(Regional_Indicators!$K$9:$K$20)=MIN(Regional_Indicators!$K$9:$K$20),0,(MAX(Regional_Indicators!$K$9:$K$20)-Regional_Indicators!K9)/(MAX(Regional_Indicators!$K$9:$K$20)-MIN(Regional_Indicators!$K$9:$K$20))),"")</f>
        <v>0</v>
      </c>
      <c r="L4" s="15">
        <f>IFERROR(IF(MAX(Regional_Indicators!$L$9:$L$20)=MIN(Regional_Indicators!$L$9:$L$20),0,(Regional_Indicators!L9-MIN(Regional_Indicators!$L$9:$L$20))/(MAX(Regional_Indicators!$L$9:$L$20)-MIN(Regional_Indicators!$L$9:$L$20))),"")</f>
        <v>0</v>
      </c>
    </row>
    <row r="5" spans="1:13" ht="15" customHeight="1">
      <c r="A5" s="7" t="s">
        <v>174</v>
      </c>
      <c r="B5" s="15">
        <f>IFERROR(IF(MAX(Regional_Indicators!$B$9:$B$20)=MIN(Regional_Indicators!$B$9:$B$20),0,(Regional_Indicators!B10-MIN(Regional_Indicators!$B$9:$B$20))/(MAX(Regional_Indicators!$B$9:$B$20)-MIN(Regional_Indicators!$B$9:$B$20))),"")</f>
        <v>0.2363636363636365</v>
      </c>
      <c r="C5" s="15">
        <f>IFERROR(IF(MAX(Regional_Indicators!$C$9:$C$20)=MIN(Regional_Indicators!$C$9:$C$20),0,(MAX(Regional_Indicators!$C$9:$C$20)-Regional_Indicators!C10)/(MAX(Regional_Indicators!$C$9:$C$20)-MIN(Regional_Indicators!$C$9:$C$20))),"")</f>
        <v>0.5714285714285714</v>
      </c>
      <c r="D5" s="15">
        <f>IFERROR(IF(MAX(Regional_Indicators!$D$9:$D$20)=MIN(Regional_Indicators!$D$9:$D$20),0,(MAX(Regional_Indicators!$D$9:$D$20)-Regional_Indicators!D10)/(MAX(Regional_Indicators!$D$9:$D$20)-MIN(Regional_Indicators!$D$9:$D$20))),"")</f>
        <v>0.42857142857142855</v>
      </c>
      <c r="E5" s="15">
        <f>IFERROR(IF(MAX(Regional_Indicators!$E$9:$E$20)=MIN(Regional_Indicators!$E$9:$E$20),0,(MAX(Regional_Indicators!$E$9:$E$20)-Regional_Indicators!E10)/(MAX(Regional_Indicators!$E$9:$E$20)-MIN(Regional_Indicators!$E$9:$E$20))),"")</f>
        <v>0.86644081047625254</v>
      </c>
      <c r="F5" s="15">
        <f>IFERROR(IF(MAX(Regional_Indicators!$F$9:$F$20)=MIN(Regional_Indicators!$F$9:$F$20),0,(Regional_Indicators!F10-MIN(Regional_Indicators!$F$9:$F$20))/(MAX(Regional_Indicators!$F$9:$F$20)-MIN(Regional_Indicators!$F$9:$F$20))),"")</f>
        <v>0.66666666666666663</v>
      </c>
      <c r="G5" s="15">
        <f>IFERROR(IF(MAX(Regional_Indicators!$G$9:$G$20)=MIN(Regional_Indicators!$G$9:$G$20),0,(Regional_Indicators!G10-MIN(Regional_Indicators!$G$9:$G$20))/(MAX(Regional_Indicators!$G$9:$G$20)-MIN(Regional_Indicators!$G$9:$G$20))),"")</f>
        <v>0.69047619047619047</v>
      </c>
      <c r="H5" s="15">
        <f>0</f>
        <v>0</v>
      </c>
      <c r="I5" s="15">
        <f>IFERROR(IF(MAX(Regional_Indicators!$I$9:$I$20)=MIN(Regional_Indicators!$I$9:$I$20),0,(MAX(Regional_Indicators!$I$9:$I$20)-Regional_Indicators!I10)/(MAX(Regional_Indicators!$I$9:$I$20)-MIN(Regional_Indicators!$I$9:$I$20))),"")</f>
        <v>0.52</v>
      </c>
      <c r="J5" s="15">
        <f>IFERROR(IF(MAX(Regional_Indicators!$J$9:$J$20)=MIN(Regional_Indicators!$J$9:$J$20),0,(MAX(Regional_Indicators!$J$9:$J$20)-Regional_Indicators!J10)/(MAX(Regional_Indicators!$J$9:$J$20)-MIN(Regional_Indicators!$J$9:$J$20))),"")</f>
        <v>0.48571428571428571</v>
      </c>
      <c r="K5" s="15">
        <f>IFERROR(IF(MAX(Regional_Indicators!$K$9:$K$20)=MIN(Regional_Indicators!$K$9:$K$20),0,(MAX(Regional_Indicators!$K$9:$K$20)-Regional_Indicators!K10)/(MAX(Regional_Indicators!$K$9:$K$20)-MIN(Regional_Indicators!$K$9:$K$20))),"")</f>
        <v>0.26923076923076922</v>
      </c>
      <c r="L5" s="15">
        <f>IFERROR(IF(MAX(Regional_Indicators!$L$9:$L$20)=MIN(Regional_Indicators!$L$9:$L$20),0,(Regional_Indicators!L10-MIN(Regional_Indicators!$L$9:$L$20))/(MAX(Regional_Indicators!$L$9:$L$20)-MIN(Regional_Indicators!$L$9:$L$20))),"")</f>
        <v>0.42857142857142833</v>
      </c>
    </row>
    <row r="6" spans="1:13" ht="15" customHeight="1">
      <c r="A6" s="7" t="s">
        <v>175</v>
      </c>
      <c r="B6" s="15">
        <f>IFERROR(IF(MAX(Regional_Indicators!$B$9:$B$20)=MIN(Regional_Indicators!$B$9:$B$20),0,(Regional_Indicators!B11-MIN(Regional_Indicators!$B$9:$B$20))/(MAX(Regional_Indicators!$B$9:$B$20)-MIN(Regional_Indicators!$B$9:$B$20))),"")</f>
        <v>0</v>
      </c>
      <c r="C6" s="15">
        <f>IFERROR(IF(MAX(Regional_Indicators!$C$9:$C$20)=MIN(Regional_Indicators!$C$9:$C$20),0,(MAX(Regional_Indicators!$C$9:$C$20)-Regional_Indicators!C11)/(MAX(Regional_Indicators!$C$9:$C$20)-MIN(Regional_Indicators!$C$9:$C$20))),"")</f>
        <v>0.33082706766917291</v>
      </c>
      <c r="D6" s="15">
        <f>IFERROR(IF(MAX(Regional_Indicators!$D$9:$D$20)=MIN(Regional_Indicators!$D$9:$D$20),0,(MAX(Regional_Indicators!$D$9:$D$20)-Regional_Indicators!D11)/(MAX(Regional_Indicators!$D$9:$D$20)-MIN(Regional_Indicators!$D$9:$D$20))),"")</f>
        <v>0.1142857142857143</v>
      </c>
      <c r="E6" s="15">
        <f>IFERROR(IF(MAX(Regional_Indicators!$E$9:$E$20)=MIN(Regional_Indicators!$E$9:$E$20),0,(MAX(Regional_Indicators!$E$9:$E$20)-Regional_Indicators!E11)/(MAX(Regional_Indicators!$E$9:$E$20)-MIN(Regional_Indicators!$E$9:$E$20))),"")</f>
        <v>0.88109974591178575</v>
      </c>
      <c r="F6" s="15">
        <f>IFERROR(IF(MAX(Regional_Indicators!$F$9:$F$20)=MIN(Regional_Indicators!$F$9:$F$20),0,(Regional_Indicators!F11-MIN(Regional_Indicators!$F$9:$F$20))/(MAX(Regional_Indicators!$F$9:$F$20)-MIN(Regional_Indicators!$F$9:$F$20))),"")</f>
        <v>0.72222222222222221</v>
      </c>
      <c r="G6" s="15">
        <f>IFERROR(IF(MAX(Regional_Indicators!$G$9:$G$20)=MIN(Regional_Indicators!$G$9:$G$20),0,(Regional_Indicators!G11-MIN(Regional_Indicators!$G$9:$G$20))/(MAX(Regional_Indicators!$G$9:$G$20)-MIN(Regional_Indicators!$G$9:$G$20))),"")</f>
        <v>0.5714285714285714</v>
      </c>
      <c r="H6" s="15">
        <f>0</f>
        <v>0</v>
      </c>
      <c r="I6" s="15">
        <f>IFERROR(IF(MAX(Regional_Indicators!$I$9:$I$20)=MIN(Regional_Indicators!$I$9:$I$20),0,(MAX(Regional_Indicators!$I$9:$I$20)-Regional_Indicators!I11)/(MAX(Regional_Indicators!$I$9:$I$20)-MIN(Regional_Indicators!$I$9:$I$20))),"")</f>
        <v>0.44</v>
      </c>
      <c r="J6" s="15">
        <f>IFERROR(IF(MAX(Regional_Indicators!$J$9:$J$20)=MIN(Regional_Indicators!$J$9:$J$20),0,(MAX(Regional_Indicators!$J$9:$J$20)-Regional_Indicators!J11)/(MAX(Regional_Indicators!$J$9:$J$20)-MIN(Regional_Indicators!$J$9:$J$20))),"")</f>
        <v>0.42857142857142855</v>
      </c>
      <c r="K6" s="15">
        <f>IFERROR(IF(MAX(Regional_Indicators!$K$9:$K$20)=MIN(Regional_Indicators!$K$9:$K$20),0,(MAX(Regional_Indicators!$K$9:$K$20)-Regional_Indicators!K11)/(MAX(Regional_Indicators!$K$9:$K$20)-MIN(Regional_Indicators!$K$9:$K$20))),"")</f>
        <v>0.89230769230769236</v>
      </c>
      <c r="L6" s="15">
        <f>IFERROR(IF(MAX(Regional_Indicators!$L$9:$L$20)=MIN(Regional_Indicators!$L$9:$L$20),0,(Regional_Indicators!L11-MIN(Regional_Indicators!$L$9:$L$20))/(MAX(Regional_Indicators!$L$9:$L$20)-MIN(Regional_Indicators!$L$9:$L$20))),"")</f>
        <v>0.14285714285714268</v>
      </c>
    </row>
    <row r="7" spans="1:13" ht="15" customHeight="1">
      <c r="A7" s="7" t="s">
        <v>176</v>
      </c>
      <c r="B7" s="15">
        <f>IFERROR(IF(MAX(Regional_Indicators!$B$9:$B$20)=MIN(Regional_Indicators!$B$9:$B$20),0,(Regional_Indicators!B12-MIN(Regional_Indicators!$B$9:$B$20))/(MAX(Regional_Indicators!$B$9:$B$20)-MIN(Regional_Indicators!$B$9:$B$20))),"")</f>
        <v>0.27272727272727271</v>
      </c>
      <c r="C7" s="15">
        <f>IFERROR(IF(MAX(Regional_Indicators!$C$9:$C$20)=MIN(Regional_Indicators!$C$9:$C$20),0,(MAX(Regional_Indicators!$C$9:$C$20)-Regional_Indicators!C12)/(MAX(Regional_Indicators!$C$9:$C$20)-MIN(Regional_Indicators!$C$9:$C$20))),"")</f>
        <v>0.2857142857142857</v>
      </c>
      <c r="D7" s="15">
        <f>IFERROR(IF(MAX(Regional_Indicators!$D$9:$D$20)=MIN(Regional_Indicators!$D$9:$D$20),0,(MAX(Regional_Indicators!$D$9:$D$20)-Regional_Indicators!D12)/(MAX(Regional_Indicators!$D$9:$D$20)-MIN(Regional_Indicators!$D$9:$D$20))),"")</f>
        <v>5.7142857142857127E-2</v>
      </c>
      <c r="E7" s="15">
        <f>IFERROR(IF(MAX(Regional_Indicators!$E$9:$E$20)=MIN(Regional_Indicators!$E$9:$E$20),0,(MAX(Regional_Indicators!$E$9:$E$20)-Regional_Indicators!E12)/(MAX(Regional_Indicators!$E$9:$E$20)-MIN(Regional_Indicators!$E$9:$E$20))),"")</f>
        <v>0.61684800312723953</v>
      </c>
      <c r="F7" s="15">
        <f>IFERROR(IF(MAX(Regional_Indicators!$F$9:$F$20)=MIN(Regional_Indicators!$F$9:$F$20),0,(Regional_Indicators!F12-MIN(Regional_Indicators!$F$9:$F$20))/(MAX(Regional_Indicators!$F$9:$F$20)-MIN(Regional_Indicators!$F$9:$F$20))),"")</f>
        <v>0.22222222222222221</v>
      </c>
      <c r="G7" s="15">
        <f>IFERROR(IF(MAX(Regional_Indicators!$G$9:$G$20)=MIN(Regional_Indicators!$G$9:$G$20),0,(Regional_Indicators!G12-MIN(Regional_Indicators!$G$9:$G$20))/(MAX(Regional_Indicators!$G$9:$G$20)-MIN(Regional_Indicators!$G$9:$G$20))),"")</f>
        <v>0.88095238095238093</v>
      </c>
      <c r="H7" s="15">
        <f>0</f>
        <v>0</v>
      </c>
      <c r="I7" s="15">
        <f>IFERROR(IF(MAX(Regional_Indicators!$I$9:$I$20)=MIN(Regional_Indicators!$I$9:$I$20),0,(MAX(Regional_Indicators!$I$9:$I$20)-Regional_Indicators!I12)/(MAX(Regional_Indicators!$I$9:$I$20)-MIN(Regional_Indicators!$I$9:$I$20))),"")</f>
        <v>0.12</v>
      </c>
      <c r="J7" s="15">
        <f>IFERROR(IF(MAX(Regional_Indicators!$J$9:$J$20)=MIN(Regional_Indicators!$J$9:$J$20),0,(MAX(Regional_Indicators!$J$9:$J$20)-Regional_Indicators!J12)/(MAX(Regional_Indicators!$J$9:$J$20)-MIN(Regional_Indicators!$J$9:$J$20))),"")</f>
        <v>0.14285714285714285</v>
      </c>
      <c r="K7" s="15">
        <f>IFERROR(IF(MAX(Regional_Indicators!$K$9:$K$20)=MIN(Regional_Indicators!$K$9:$K$20),0,(MAX(Regional_Indicators!$K$9:$K$20)-Regional_Indicators!K12)/(MAX(Regional_Indicators!$K$9:$K$20)-MIN(Regional_Indicators!$K$9:$K$20))),"")</f>
        <v>0.94615384615384612</v>
      </c>
      <c r="L7" s="15">
        <f>IFERROR(IF(MAX(Regional_Indicators!$L$9:$L$20)=MIN(Regional_Indicators!$L$9:$L$20),0,(Regional_Indicators!L12-MIN(Regional_Indicators!$L$9:$L$20))/(MAX(Regional_Indicators!$L$9:$L$20)-MIN(Regional_Indicators!$L$9:$L$20))),"")</f>
        <v>0</v>
      </c>
    </row>
    <row r="8" spans="1:13" ht="15" customHeight="1">
      <c r="A8" s="7" t="s">
        <v>177</v>
      </c>
      <c r="B8" s="15">
        <f>IFERROR(IF(MAX(Regional_Indicators!$B$9:$B$20)=MIN(Regional_Indicators!$B$9:$B$20),0,(Regional_Indicators!B13-MIN(Regional_Indicators!$B$9:$B$20))/(MAX(Regional_Indicators!$B$9:$B$20)-MIN(Regional_Indicators!$B$9:$B$20))),"")</f>
        <v>0.12727272727272715</v>
      </c>
      <c r="C8" s="15">
        <f>IFERROR(IF(MAX(Regional_Indicators!$C$9:$C$20)=MIN(Regional_Indicators!$C$9:$C$20),0,(MAX(Regional_Indicators!$C$9:$C$20)-Regional_Indicators!C13)/(MAX(Regional_Indicators!$C$9:$C$20)-MIN(Regional_Indicators!$C$9:$C$20))),"")</f>
        <v>0.48120300751879697</v>
      </c>
      <c r="D8" s="15">
        <f>IFERROR(IF(MAX(Regional_Indicators!$D$9:$D$20)=MIN(Regional_Indicators!$D$9:$D$20),0,(MAX(Regional_Indicators!$D$9:$D$20)-Regional_Indicators!D13)/(MAX(Regional_Indicators!$D$9:$D$20)-MIN(Regional_Indicators!$D$9:$D$20))),"")</f>
        <v>0.2857142857142857</v>
      </c>
      <c r="E8" s="15">
        <f>IFERROR(IF(MAX(Regional_Indicators!$E$9:$E$20)=MIN(Regional_Indicators!$E$9:$E$20),0,(MAX(Regional_Indicators!$E$9:$E$20)-Regional_Indicators!E13)/(MAX(Regional_Indicators!$E$9:$E$20)-MIN(Regional_Indicators!$E$9:$E$20))),"")</f>
        <v>0.93810671704997073</v>
      </c>
      <c r="F8" s="15">
        <f>IFERROR(IF(MAX(Regional_Indicators!$F$9:$F$20)=MIN(Regional_Indicators!$F$9:$F$20),0,(Regional_Indicators!F13-MIN(Regional_Indicators!$F$9:$F$20))/(MAX(Regional_Indicators!$F$9:$F$20)-MIN(Regional_Indicators!$F$9:$F$20))),"")</f>
        <v>1</v>
      </c>
      <c r="G8" s="15">
        <f>IFERROR(IF(MAX(Regional_Indicators!$G$9:$G$20)=MIN(Regional_Indicators!$G$9:$G$20),0,(Regional_Indicators!G13-MIN(Regional_Indicators!$G$9:$G$20))/(MAX(Regional_Indicators!$G$9:$G$20)-MIN(Regional_Indicators!$G$9:$G$20))),"")</f>
        <v>0.32142857142857145</v>
      </c>
      <c r="H8" s="15">
        <f>0</f>
        <v>0</v>
      </c>
      <c r="I8" s="15">
        <f>IFERROR(IF(MAX(Regional_Indicators!$I$9:$I$20)=MIN(Regional_Indicators!$I$9:$I$20),0,(MAX(Regional_Indicators!$I$9:$I$20)-Regional_Indicators!I13)/(MAX(Regional_Indicators!$I$9:$I$20)-MIN(Regional_Indicators!$I$9:$I$20))),"")</f>
        <v>0.68</v>
      </c>
      <c r="J8" s="15">
        <f>IFERROR(IF(MAX(Regional_Indicators!$J$9:$J$20)=MIN(Regional_Indicators!$J$9:$J$20),0,(MAX(Regional_Indicators!$J$9:$J$20)-Regional_Indicators!J13)/(MAX(Regional_Indicators!$J$9:$J$20)-MIN(Regional_Indicators!$J$9:$J$20))),"")</f>
        <v>0.65714285714285714</v>
      </c>
      <c r="K8" s="15">
        <f>IFERROR(IF(MAX(Regional_Indicators!$K$9:$K$20)=MIN(Regional_Indicators!$K$9:$K$20),0,(MAX(Regional_Indicators!$K$9:$K$20)-Regional_Indicators!K13)/(MAX(Regional_Indicators!$K$9:$K$20)-MIN(Regional_Indicators!$K$9:$K$20))),"")</f>
        <v>0.7615384615384615</v>
      </c>
      <c r="L8" s="15">
        <f>IFERROR(IF(MAX(Regional_Indicators!$L$9:$L$20)=MIN(Regional_Indicators!$L$9:$L$20),0,(Regional_Indicators!L13-MIN(Regional_Indicators!$L$9:$L$20))/(MAX(Regional_Indicators!$L$9:$L$20)-MIN(Regional_Indicators!$L$9:$L$20))),"")</f>
        <v>0.28571428571428564</v>
      </c>
    </row>
    <row r="9" spans="1:13" ht="15" customHeight="1">
      <c r="A9" s="7" t="s">
        <v>178</v>
      </c>
      <c r="B9" s="15">
        <f>IFERROR(IF(MAX(Regional_Indicators!$B$9:$B$20)=MIN(Regional_Indicators!$B$9:$B$20),0,(Regional_Indicators!B14-MIN(Regional_Indicators!$B$9:$B$20))/(MAX(Regional_Indicators!$B$9:$B$20)-MIN(Regional_Indicators!$B$9:$B$20))),"")</f>
        <v>0.39999999999999986</v>
      </c>
      <c r="C9" s="15">
        <f>IFERROR(IF(MAX(Regional_Indicators!$C$9:$C$20)=MIN(Regional_Indicators!$C$9:$C$20),0,(MAX(Regional_Indicators!$C$9:$C$20)-Regional_Indicators!C14)/(MAX(Regional_Indicators!$C$9:$C$20)-MIN(Regional_Indicators!$C$9:$C$20))),"")</f>
        <v>0.43609022556390975</v>
      </c>
      <c r="D9" s="15">
        <f>IFERROR(IF(MAX(Regional_Indicators!$D$9:$D$20)=MIN(Regional_Indicators!$D$9:$D$20),0,(MAX(Regional_Indicators!$D$9:$D$20)-Regional_Indicators!D14)/(MAX(Regional_Indicators!$D$9:$D$20)-MIN(Regional_Indicators!$D$9:$D$20))),"")</f>
        <v>0.14285714285714285</v>
      </c>
      <c r="E9" s="15">
        <f>IFERROR(IF(MAX(Regional_Indicators!$E$9:$E$20)=MIN(Regional_Indicators!$E$9:$E$20),0,(MAX(Regional_Indicators!$E$9:$E$20)-Regional_Indicators!E14)/(MAX(Regional_Indicators!$E$9:$E$20)-MIN(Regional_Indicators!$E$9:$E$20))),"")</f>
        <v>0.42346406932047692</v>
      </c>
      <c r="F9" s="15">
        <f>IFERROR(IF(MAX(Regional_Indicators!$F$9:$F$20)=MIN(Regional_Indicators!$F$9:$F$20),0,(Regional_Indicators!F14-MIN(Regional_Indicators!$F$9:$F$20))/(MAX(Regional_Indicators!$F$9:$F$20)-MIN(Regional_Indicators!$F$9:$F$20))),"")</f>
        <v>0</v>
      </c>
      <c r="G9" s="15">
        <f>IFERROR(IF(MAX(Regional_Indicators!$G$9:$G$20)=MIN(Regional_Indicators!$G$9:$G$20),0,(Regional_Indicators!G14-MIN(Regional_Indicators!$G$9:$G$20))/(MAX(Regional_Indicators!$G$9:$G$20)-MIN(Regional_Indicators!$G$9:$G$20))),"")</f>
        <v>1</v>
      </c>
      <c r="H9" s="15">
        <f>0</f>
        <v>0</v>
      </c>
      <c r="I9" s="15">
        <f>IFERROR(IF(MAX(Regional_Indicators!$I$9:$I$20)=MIN(Regional_Indicators!$I$9:$I$20),0,(MAX(Regional_Indicators!$I$9:$I$20)-Regional_Indicators!I14)/(MAX(Regional_Indicators!$I$9:$I$20)-MIN(Regional_Indicators!$I$9:$I$20))),"")</f>
        <v>0</v>
      </c>
      <c r="J9" s="15">
        <f>IFERROR(IF(MAX(Regional_Indicators!$J$9:$J$20)=MIN(Regional_Indicators!$J$9:$J$20),0,(MAX(Regional_Indicators!$J$9:$J$20)-Regional_Indicators!J14)/(MAX(Regional_Indicators!$J$9:$J$20)-MIN(Regional_Indicators!$J$9:$J$20))),"")</f>
        <v>0</v>
      </c>
      <c r="K9" s="15">
        <f>IFERROR(IF(MAX(Regional_Indicators!$K$9:$K$20)=MIN(Regional_Indicators!$K$9:$K$20),0,(MAX(Regional_Indicators!$K$9:$K$20)-Regional_Indicators!K14)/(MAX(Regional_Indicators!$K$9:$K$20)-MIN(Regional_Indicators!$K$9:$K$20))),"")</f>
        <v>0.82307692307692304</v>
      </c>
      <c r="L9" s="15">
        <f>IFERROR(IF(MAX(Regional_Indicators!$L$9:$L$20)=MIN(Regional_Indicators!$L$9:$L$20),0,(Regional_Indicators!L14-MIN(Regional_Indicators!$L$9:$L$20))/(MAX(Regional_Indicators!$L$9:$L$20)-MIN(Regional_Indicators!$L$9:$L$20))),"")</f>
        <v>0.14285714285714268</v>
      </c>
    </row>
    <row r="10" spans="1:13" ht="15" customHeight="1">
      <c r="A10" s="7" t="s">
        <v>179</v>
      </c>
      <c r="B10" s="15">
        <f>IFERROR(IF(MAX(Regional_Indicators!$B$9:$B$20)=MIN(Regional_Indicators!$B$9:$B$20),0,(Regional_Indicators!B15-MIN(Regional_Indicators!$B$9:$B$20))/(MAX(Regional_Indicators!$B$9:$B$20)-MIN(Regional_Indicators!$B$9:$B$20))),"")</f>
        <v>0.60000000000000009</v>
      </c>
      <c r="C10" s="15">
        <f>IFERROR(IF(MAX(Regional_Indicators!$C$9:$C$20)=MIN(Regional_Indicators!$C$9:$C$20),0,(MAX(Regional_Indicators!$C$9:$C$20)-Regional_Indicators!C15)/(MAX(Regional_Indicators!$C$9:$C$20)-MIN(Regional_Indicators!$C$9:$C$20))),"")</f>
        <v>0.63157894736842102</v>
      </c>
      <c r="D10" s="15">
        <f>IFERROR(IF(MAX(Regional_Indicators!$D$9:$D$20)=MIN(Regional_Indicators!$D$9:$D$20),0,(MAX(Regional_Indicators!$D$9:$D$20)-Regional_Indicators!D15)/(MAX(Regional_Indicators!$D$9:$D$20)-MIN(Regional_Indicators!$D$9:$D$20))),"")</f>
        <v>0.45714285714285718</v>
      </c>
      <c r="E10" s="15">
        <f>IFERROR(IF(MAX(Regional_Indicators!$E$9:$E$20)=MIN(Regional_Indicators!$E$9:$E$20),0,(MAX(Regional_Indicators!$E$9:$E$20)-Regional_Indicators!E15)/(MAX(Regional_Indicators!$E$9:$E$20)-MIN(Regional_Indicators!$E$9:$E$20))),"")</f>
        <v>0.94901948009642323</v>
      </c>
      <c r="F10" s="15">
        <f>IFERROR(IF(MAX(Regional_Indicators!$F$9:$F$20)=MIN(Regional_Indicators!$F$9:$F$20),0,(Regional_Indicators!F15-MIN(Regional_Indicators!$F$9:$F$20))/(MAX(Regional_Indicators!$F$9:$F$20)-MIN(Regional_Indicators!$F$9:$F$20))),"")</f>
        <v>0.66666666666666663</v>
      </c>
      <c r="G10" s="15">
        <f>IFERROR(IF(MAX(Regional_Indicators!$G$9:$G$20)=MIN(Regional_Indicators!$G$9:$G$20),0,(Regional_Indicators!G15-MIN(Regional_Indicators!$G$9:$G$20))/(MAX(Regional_Indicators!$G$9:$G$20)-MIN(Regional_Indicators!$G$9:$G$20))),"")</f>
        <v>0.27380952380952384</v>
      </c>
      <c r="H10" s="15">
        <f>0</f>
        <v>0</v>
      </c>
      <c r="I10" s="15">
        <f>IFERROR(IF(MAX(Regional_Indicators!$I$9:$I$20)=MIN(Regional_Indicators!$I$9:$I$20),0,(MAX(Regional_Indicators!$I$9:$I$20)-Regional_Indicators!I15)/(MAX(Regional_Indicators!$I$9:$I$20)-MIN(Regional_Indicators!$I$9:$I$20))),"")</f>
        <v>0.6</v>
      </c>
      <c r="J10" s="15">
        <f>IFERROR(IF(MAX(Regional_Indicators!$J$9:$J$20)=MIN(Regional_Indicators!$J$9:$J$20),0,(MAX(Regional_Indicators!$J$9:$J$20)-Regional_Indicators!J15)/(MAX(Regional_Indicators!$J$9:$J$20)-MIN(Regional_Indicators!$J$9:$J$20))),"")</f>
        <v>0.5714285714285714</v>
      </c>
      <c r="K10" s="15">
        <f>IFERROR(IF(MAX(Regional_Indicators!$K$9:$K$20)=MIN(Regional_Indicators!$K$9:$K$20),0,(MAX(Regional_Indicators!$K$9:$K$20)-Regional_Indicators!K15)/(MAX(Regional_Indicators!$K$9:$K$20)-MIN(Regional_Indicators!$K$9:$K$20))),"")</f>
        <v>0.66923076923076918</v>
      </c>
      <c r="L10" s="15">
        <f>IFERROR(IF(MAX(Regional_Indicators!$L$9:$L$20)=MIN(Regional_Indicators!$L$9:$L$20),0,(Regional_Indicators!L15-MIN(Regional_Indicators!$L$9:$L$20))/(MAX(Regional_Indicators!$L$9:$L$20)-MIN(Regional_Indicators!$L$9:$L$20))),"")</f>
        <v>0.57142857142857129</v>
      </c>
    </row>
    <row r="11" spans="1:13" ht="15" customHeight="1">
      <c r="A11" s="7" t="s">
        <v>180</v>
      </c>
      <c r="B11" s="15">
        <f>IFERROR(IF(MAX(Regional_Indicators!$B$9:$B$20)=MIN(Regional_Indicators!$B$9:$B$20),0,(Regional_Indicators!B16-MIN(Regional_Indicators!$B$9:$B$20))/(MAX(Regional_Indicators!$B$9:$B$20)-MIN(Regional_Indicators!$B$9:$B$20))),"")</f>
        <v>0.72727272727272729</v>
      </c>
      <c r="C11" s="15">
        <f>IFERROR(IF(MAX(Regional_Indicators!$C$9:$C$20)=MIN(Regional_Indicators!$C$9:$C$20),0,(MAX(Regional_Indicators!$C$9:$C$20)-Regional_Indicators!C16)/(MAX(Regional_Indicators!$C$9:$C$20)-MIN(Regional_Indicators!$C$9:$C$20))),"")</f>
        <v>0.8571428571428571</v>
      </c>
      <c r="D11" s="15">
        <f>IFERROR(IF(MAX(Regional_Indicators!$D$9:$D$20)=MIN(Regional_Indicators!$D$9:$D$20),0,(MAX(Regional_Indicators!$D$9:$D$20)-Regional_Indicators!D16)/(MAX(Regional_Indicators!$D$9:$D$20)-MIN(Regional_Indicators!$D$9:$D$20))),"")</f>
        <v>0.77142857142857146</v>
      </c>
      <c r="E11" s="15">
        <f>IFERROR(IF(MAX(Regional_Indicators!$E$9:$E$20)=MIN(Regional_Indicators!$E$9:$E$20),0,(MAX(Regional_Indicators!$E$9:$E$20)-Regional_Indicators!E16)/(MAX(Regional_Indicators!$E$9:$E$20)-MIN(Regional_Indicators!$E$9:$E$20))),"")</f>
        <v>1</v>
      </c>
      <c r="F11" s="15">
        <f>IFERROR(IF(MAX(Regional_Indicators!$F$9:$F$20)=MIN(Regional_Indicators!$F$9:$F$20),0,(Regional_Indicators!F16-MIN(Regional_Indicators!$F$9:$F$20))/(MAX(Regional_Indicators!$F$9:$F$20)-MIN(Regional_Indicators!$F$9:$F$20))),"")</f>
        <v>0.88888888888888884</v>
      </c>
      <c r="G11" s="15">
        <f>IFERROR(IF(MAX(Regional_Indicators!$G$9:$G$20)=MIN(Regional_Indicators!$G$9:$G$20),0,(Regional_Indicators!G16-MIN(Regional_Indicators!$G$9:$G$20))/(MAX(Regional_Indicators!$G$9:$G$20)-MIN(Regional_Indicators!$G$9:$G$20))),"")</f>
        <v>0</v>
      </c>
      <c r="H11" s="15">
        <f>0</f>
        <v>0</v>
      </c>
      <c r="I11" s="15">
        <f>IFERROR(IF(MAX(Regional_Indicators!$I$9:$I$20)=MIN(Regional_Indicators!$I$9:$I$20),0,(MAX(Regional_Indicators!$I$9:$I$20)-Regional_Indicators!I16)/(MAX(Regional_Indicators!$I$9:$I$20)-MIN(Regional_Indicators!$I$9:$I$20))),"")</f>
        <v>1</v>
      </c>
      <c r="J11" s="15">
        <f>IFERROR(IF(MAX(Regional_Indicators!$J$9:$J$20)=MIN(Regional_Indicators!$J$9:$J$20),0,(MAX(Regional_Indicators!$J$9:$J$20)-Regional_Indicators!J16)/(MAX(Regional_Indicators!$J$9:$J$20)-MIN(Regional_Indicators!$J$9:$J$20))),"")</f>
        <v>1</v>
      </c>
      <c r="K11" s="15">
        <f>IFERROR(IF(MAX(Regional_Indicators!$K$9:$K$20)=MIN(Regional_Indicators!$K$9:$K$20),0,(MAX(Regional_Indicators!$K$9:$K$20)-Regional_Indicators!K16)/(MAX(Regional_Indicators!$K$9:$K$20)-MIN(Regional_Indicators!$K$9:$K$20))),"")</f>
        <v>0.2846153846153846</v>
      </c>
      <c r="L11" s="15">
        <f>IFERROR(IF(MAX(Regional_Indicators!$L$9:$L$20)=MIN(Regional_Indicators!$L$9:$L$20),0,(Regional_Indicators!L16-MIN(Regional_Indicators!$L$9:$L$20))/(MAX(Regional_Indicators!$L$9:$L$20)-MIN(Regional_Indicators!$L$9:$L$20))),"")</f>
        <v>0.85714285714285698</v>
      </c>
    </row>
    <row r="12" spans="1:13" ht="15" customHeight="1">
      <c r="A12" s="7" t="s">
        <v>181</v>
      </c>
      <c r="B12" s="15">
        <f>IFERROR(IF(MAX(Regional_Indicators!$B$9:$B$20)=MIN(Regional_Indicators!$B$9:$B$20),0,(Regional_Indicators!B17-MIN(Regional_Indicators!$B$9:$B$20))/(MAX(Regional_Indicators!$B$9:$B$20)-MIN(Regional_Indicators!$B$9:$B$20))),"")</f>
        <v>0.54545454545454541</v>
      </c>
      <c r="C12" s="15">
        <f>IFERROR(IF(MAX(Regional_Indicators!$C$9:$C$20)=MIN(Regional_Indicators!$C$9:$C$20),0,(MAX(Regional_Indicators!$C$9:$C$20)-Regional_Indicators!C17)/(MAX(Regional_Indicators!$C$9:$C$20)-MIN(Regional_Indicators!$C$9:$C$20))),"")</f>
        <v>0.72180451127819545</v>
      </c>
      <c r="D12" s="15">
        <f>IFERROR(IF(MAX(Regional_Indicators!$D$9:$D$20)=MIN(Regional_Indicators!$D$9:$D$20),0,(MAX(Regional_Indicators!$D$9:$D$20)-Regional_Indicators!D17)/(MAX(Regional_Indicators!$D$9:$D$20)-MIN(Regional_Indicators!$D$9:$D$20))),"")</f>
        <v>0.5714285714285714</v>
      </c>
      <c r="E12" s="15">
        <f>IFERROR(IF(MAX(Regional_Indicators!$E$9:$E$20)=MIN(Regional_Indicators!$E$9:$E$20),0,(MAX(Regional_Indicators!$E$9:$E$20)-Regional_Indicators!E17)/(MAX(Regional_Indicators!$E$9:$E$20)-MIN(Regional_Indicators!$E$9:$E$20))),"")</f>
        <v>0.81106260994201573</v>
      </c>
      <c r="F12" s="15">
        <f>IFERROR(IF(MAX(Regional_Indicators!$F$9:$F$20)=MIN(Regional_Indicators!$F$9:$F$20),0,(Regional_Indicators!F17-MIN(Regional_Indicators!$F$9:$F$20))/(MAX(Regional_Indicators!$F$9:$F$20)-MIN(Regional_Indicators!$F$9:$F$20))),"")</f>
        <v>0.55555555555555558</v>
      </c>
      <c r="G12" s="15">
        <f>IFERROR(IF(MAX(Regional_Indicators!$G$9:$G$20)=MIN(Regional_Indicators!$G$9:$G$20),0,(Regional_Indicators!G17-MIN(Regional_Indicators!$G$9:$G$20))/(MAX(Regional_Indicators!$G$9:$G$20)-MIN(Regional_Indicators!$G$9:$G$20))),"")</f>
        <v>0.5714285714285714</v>
      </c>
      <c r="H12" s="15">
        <f>0</f>
        <v>0</v>
      </c>
      <c r="I12" s="15">
        <f>IFERROR(IF(MAX(Regional_Indicators!$I$9:$I$20)=MIN(Regional_Indicators!$I$9:$I$20),0,(MAX(Regional_Indicators!$I$9:$I$20)-Regional_Indicators!I17)/(MAX(Regional_Indicators!$I$9:$I$20)-MIN(Regional_Indicators!$I$9:$I$20))),"")</f>
        <v>0.36</v>
      </c>
      <c r="J12" s="15">
        <f>IFERROR(IF(MAX(Regional_Indicators!$J$9:$J$20)=MIN(Regional_Indicators!$J$9:$J$20),0,(MAX(Regional_Indicators!$J$9:$J$20)-Regional_Indicators!J17)/(MAX(Regional_Indicators!$J$9:$J$20)-MIN(Regional_Indicators!$J$9:$J$20))),"")</f>
        <v>0.37142857142857144</v>
      </c>
      <c r="K12" s="15">
        <f>IFERROR(IF(MAX(Regional_Indicators!$K$9:$K$20)=MIN(Regional_Indicators!$K$9:$K$20),0,(MAX(Regional_Indicators!$K$9:$K$20)-Regional_Indicators!K17)/(MAX(Regional_Indicators!$K$9:$K$20)-MIN(Regional_Indicators!$K$9:$K$20))),"")</f>
        <v>0.46153846153846156</v>
      </c>
      <c r="L12" s="15">
        <f>IFERROR(IF(MAX(Regional_Indicators!$L$9:$L$20)=MIN(Regional_Indicators!$L$9:$L$20),0,(Regional_Indicators!L17-MIN(Regional_Indicators!$L$9:$L$20))/(MAX(Regional_Indicators!$L$9:$L$20)-MIN(Regional_Indicators!$L$9:$L$20))),"")</f>
        <v>0.7142857142857143</v>
      </c>
    </row>
    <row r="13" spans="1:13" ht="15" customHeight="1">
      <c r="A13" s="7" t="s">
        <v>182</v>
      </c>
      <c r="B13" s="15">
        <f>IFERROR(IF(MAX(Regional_Indicators!$B$9:$B$20)=MIN(Regional_Indicators!$B$9:$B$20),0,(Regional_Indicators!B18-MIN(Regional_Indicators!$B$9:$B$20))/(MAX(Regional_Indicators!$B$9:$B$20)-MIN(Regional_Indicators!$B$9:$B$20))),"")</f>
        <v>0.67272727272727262</v>
      </c>
      <c r="C13" s="15">
        <f>IFERROR(IF(MAX(Regional_Indicators!$C$9:$C$20)=MIN(Regional_Indicators!$C$9:$C$20),0,(MAX(Regional_Indicators!$C$9:$C$20)-Regional_Indicators!C18)/(MAX(Regional_Indicators!$C$9:$C$20)-MIN(Regional_Indicators!$C$9:$C$20))),"")</f>
        <v>0.88721804511278191</v>
      </c>
      <c r="D13" s="15">
        <f>IFERROR(IF(MAX(Regional_Indicators!$D$9:$D$20)=MIN(Regional_Indicators!$D$9:$D$20),0,(MAX(Regional_Indicators!$D$9:$D$20)-Regional_Indicators!D18)/(MAX(Regional_Indicators!$D$9:$D$20)-MIN(Regional_Indicators!$D$9:$D$20))),"")</f>
        <v>0.7142857142857143</v>
      </c>
      <c r="E13" s="15">
        <f>IFERROR(IF(MAX(Regional_Indicators!$E$9:$E$20)=MIN(Regional_Indicators!$E$9:$E$20),0,(MAX(Regional_Indicators!$E$9:$E$20)-Regional_Indicators!E18)/(MAX(Regional_Indicators!$E$9:$E$20)-MIN(Regional_Indicators!$E$9:$E$20))),"")</f>
        <v>0.59554368362759791</v>
      </c>
      <c r="F13" s="15">
        <f>IFERROR(IF(MAX(Regional_Indicators!$F$9:$F$20)=MIN(Regional_Indicators!$F$9:$F$20),0,(Regional_Indicators!F18-MIN(Regional_Indicators!$F$9:$F$20))/(MAX(Regional_Indicators!$F$9:$F$20)-MIN(Regional_Indicators!$F$9:$F$20))),"")</f>
        <v>0.5</v>
      </c>
      <c r="G13" s="15">
        <f>IFERROR(IF(MAX(Regional_Indicators!$G$9:$G$20)=MIN(Regional_Indicators!$G$9:$G$20),0,(Regional_Indicators!G18-MIN(Regional_Indicators!$G$9:$G$20))/(MAX(Regional_Indicators!$G$9:$G$20)-MIN(Regional_Indicators!$G$9:$G$20))),"")</f>
        <v>0.5714285714285714</v>
      </c>
      <c r="H13" s="15">
        <f>0</f>
        <v>0</v>
      </c>
      <c r="I13" s="15">
        <f>IFERROR(IF(MAX(Regional_Indicators!$I$9:$I$20)=MIN(Regional_Indicators!$I$9:$I$20),0,(MAX(Regional_Indicators!$I$9:$I$20)-Regional_Indicators!I18)/(MAX(Regional_Indicators!$I$9:$I$20)-MIN(Regional_Indicators!$I$9:$I$20))),"")</f>
        <v>0.8</v>
      </c>
      <c r="J13" s="15">
        <f>IFERROR(IF(MAX(Regional_Indicators!$J$9:$J$20)=MIN(Regional_Indicators!$J$9:$J$20),0,(MAX(Regional_Indicators!$J$9:$J$20)-Regional_Indicators!J18)/(MAX(Regional_Indicators!$J$9:$J$20)-MIN(Regional_Indicators!$J$9:$J$20))),"")</f>
        <v>0.77142857142857146</v>
      </c>
      <c r="K13" s="15">
        <f>IFERROR(IF(MAX(Regional_Indicators!$K$9:$K$20)=MIN(Regional_Indicators!$K$9:$K$20),0,(MAX(Regional_Indicators!$K$9:$K$20)-Regional_Indicators!K18)/(MAX(Regional_Indicators!$K$9:$K$20)-MIN(Regional_Indicators!$K$9:$K$20))),"")</f>
        <v>1</v>
      </c>
      <c r="L13" s="15">
        <f>IFERROR(IF(MAX(Regional_Indicators!$L$9:$L$20)=MIN(Regional_Indicators!$L$9:$L$20),0,(Regional_Indicators!L18-MIN(Regional_Indicators!$L$9:$L$20))/(MAX(Regional_Indicators!$L$9:$L$20)-MIN(Regional_Indicators!$L$9:$L$20))),"")</f>
        <v>0.85714285714285698</v>
      </c>
    </row>
    <row r="14" spans="1:13" ht="15" customHeight="1">
      <c r="A14" s="7" t="s">
        <v>183</v>
      </c>
      <c r="B14" s="15">
        <f>IFERROR(IF(MAX(Regional_Indicators!$B$9:$B$20)=MIN(Regional_Indicators!$B$9:$B$20),0,(Regional_Indicators!B19-MIN(Regional_Indicators!$B$9:$B$20))/(MAX(Regional_Indicators!$B$9:$B$20)-MIN(Regional_Indicators!$B$9:$B$20))),"")</f>
        <v>0.90909090909090906</v>
      </c>
      <c r="C14" s="15">
        <f>IFERROR(IF(MAX(Regional_Indicators!$C$9:$C$20)=MIN(Regional_Indicators!$C$9:$C$20),0,(MAX(Regional_Indicators!$C$9:$C$20)-Regional_Indicators!C19)/(MAX(Regional_Indicators!$C$9:$C$20)-MIN(Regional_Indicators!$C$9:$C$20))),"")</f>
        <v>0.96240601503759393</v>
      </c>
      <c r="D14" s="15">
        <f>IFERROR(IF(MAX(Regional_Indicators!$D$9:$D$20)=MIN(Regional_Indicators!$D$9:$D$20),0,(MAX(Regional_Indicators!$D$9:$D$20)-Regional_Indicators!D19)/(MAX(Regional_Indicators!$D$9:$D$20)-MIN(Regional_Indicators!$D$9:$D$20))),"")</f>
        <v>0.91428571428571437</v>
      </c>
      <c r="E14" s="15">
        <f>IFERROR(IF(MAX(Regional_Indicators!$E$9:$E$20)=MIN(Regional_Indicators!$E$9:$E$20),0,(MAX(Regional_Indicators!$E$9:$E$20)-Regional_Indicators!E19)/(MAX(Regional_Indicators!$E$9:$E$20)-MIN(Regional_Indicators!$E$9:$E$20))),"")</f>
        <v>0.15880513388494363</v>
      </c>
      <c r="F14" s="15">
        <f>IFERROR(IF(MAX(Regional_Indicators!$F$9:$F$20)=MIN(Regional_Indicators!$F$9:$F$20),0,(Regional_Indicators!F19-MIN(Regional_Indicators!$F$9:$F$20))/(MAX(Regional_Indicators!$F$9:$F$20)-MIN(Regional_Indicators!$F$9:$F$20))),"")</f>
        <v>0.1111111111111111</v>
      </c>
      <c r="G14" s="15">
        <f>IFERROR(IF(MAX(Regional_Indicators!$G$9:$G$20)=MIN(Regional_Indicators!$G$9:$G$20),0,(Regional_Indicators!G19-MIN(Regional_Indicators!$G$9:$G$20))/(MAX(Regional_Indicators!$G$9:$G$20)-MIN(Regional_Indicators!$G$9:$G$20))),"")</f>
        <v>0.9285714285714286</v>
      </c>
      <c r="H14" s="15">
        <f>0</f>
        <v>0</v>
      </c>
      <c r="I14" s="15">
        <f>IFERROR(IF(MAX(Regional_Indicators!$I$9:$I$20)=MIN(Regional_Indicators!$I$9:$I$20),0,(MAX(Regional_Indicators!$I$9:$I$20)-Regional_Indicators!I19)/(MAX(Regional_Indicators!$I$9:$I$20)-MIN(Regional_Indicators!$I$9:$I$20))),"")</f>
        <v>0.68</v>
      </c>
      <c r="J14" s="15">
        <f>IFERROR(IF(MAX(Regional_Indicators!$J$9:$J$20)=MIN(Regional_Indicators!$J$9:$J$20),0,(MAX(Regional_Indicators!$J$9:$J$20)-Regional_Indicators!J19)/(MAX(Regional_Indicators!$J$9:$J$20)-MIN(Regional_Indicators!$J$9:$J$20))),"")</f>
        <v>0.7142857142857143</v>
      </c>
      <c r="K14" s="15">
        <f>IFERROR(IF(MAX(Regional_Indicators!$K$9:$K$20)=MIN(Regional_Indicators!$K$9:$K$20),0,(MAX(Regional_Indicators!$K$9:$K$20)-Regional_Indicators!K19)/(MAX(Regional_Indicators!$K$9:$K$20)-MIN(Regional_Indicators!$K$9:$K$20))),"")</f>
        <v>0.88076923076923075</v>
      </c>
      <c r="L14" s="15">
        <f>IFERROR(IF(MAX(Regional_Indicators!$L$9:$L$20)=MIN(Regional_Indicators!$L$9:$L$20),0,(Regional_Indicators!L19-MIN(Regional_Indicators!$L$9:$L$20))/(MAX(Regional_Indicators!$L$9:$L$20)-MIN(Regional_Indicators!$L$9:$L$20))),"")</f>
        <v>1</v>
      </c>
    </row>
    <row r="15" spans="1:13" ht="15" customHeight="1">
      <c r="A15" s="7" t="s">
        <v>184</v>
      </c>
      <c r="B15" s="15">
        <f>IFERROR(IF(MAX(Regional_Indicators!$B$9:$B$20)=MIN(Regional_Indicators!$B$9:$B$20),0,(Regional_Indicators!B20-MIN(Regional_Indicators!$B$9:$B$20))/(MAX(Regional_Indicators!$B$9:$B$20)-MIN(Regional_Indicators!$B$9:$B$20))),"")</f>
        <v>1</v>
      </c>
      <c r="C15" s="15">
        <f>IFERROR(IF(MAX(Regional_Indicators!$C$9:$C$20)=MIN(Regional_Indicators!$C$9:$C$20),0,(MAX(Regional_Indicators!$C$9:$C$20)-Regional_Indicators!C20)/(MAX(Regional_Indicators!$C$9:$C$20)-MIN(Regional_Indicators!$C$9:$C$20))),"")</f>
        <v>1</v>
      </c>
      <c r="D15" s="15">
        <f>IFERROR(IF(MAX(Regional_Indicators!$D$9:$D$20)=MIN(Regional_Indicators!$D$9:$D$20),0,(MAX(Regional_Indicators!$D$9:$D$20)-Regional_Indicators!D20)/(MAX(Regional_Indicators!$D$9:$D$20)-MIN(Regional_Indicators!$D$9:$D$20))),"")</f>
        <v>1</v>
      </c>
      <c r="E15" s="15">
        <f>IFERROR(IF(MAX(Regional_Indicators!$E$9:$E$20)=MIN(Regional_Indicators!$E$9:$E$20),0,(MAX(Regional_Indicators!$E$9:$E$20)-Regional_Indicators!E20)/(MAX(Regional_Indicators!$E$9:$E$20)-MIN(Regional_Indicators!$E$9:$E$20))),"")</f>
        <v>0</v>
      </c>
      <c r="F15" s="15">
        <f>IFERROR(IF(MAX(Regional_Indicators!$F$9:$F$20)=MIN(Regional_Indicators!$F$9:$F$20),0,(Regional_Indicators!F20-MIN(Regional_Indicators!$F$9:$F$20))/(MAX(Regional_Indicators!$F$9:$F$20)-MIN(Regional_Indicators!$F$9:$F$20))),"")</f>
        <v>0</v>
      </c>
      <c r="G15" s="15">
        <f>IFERROR(IF(MAX(Regional_Indicators!$G$9:$G$20)=MIN(Regional_Indicators!$G$9:$G$20),0,(Regional_Indicators!G20-MIN(Regional_Indicators!$G$9:$G$20))/(MAX(Regional_Indicators!$G$9:$G$20)-MIN(Regional_Indicators!$G$9:$G$20))),"")</f>
        <v>1</v>
      </c>
      <c r="H15" s="15">
        <f>0</f>
        <v>0</v>
      </c>
      <c r="I15" s="15">
        <f>IFERROR(IF(MAX(Regional_Indicators!$I$9:$I$20)=MIN(Regional_Indicators!$I$9:$I$20),0,(MAX(Regional_Indicators!$I$9:$I$20)-Regional_Indicators!I20)/(MAX(Regional_Indicators!$I$9:$I$20)-MIN(Regional_Indicators!$I$9:$I$20))),"")</f>
        <v>0.6</v>
      </c>
      <c r="J15" s="15">
        <f>IFERROR(IF(MAX(Regional_Indicators!$J$9:$J$20)=MIN(Regional_Indicators!$J$9:$J$20),0,(MAX(Regional_Indicators!$J$9:$J$20)-Regional_Indicators!J20)/(MAX(Regional_Indicators!$J$9:$J$20)-MIN(Regional_Indicators!$J$9:$J$20))),"")</f>
        <v>0.5714285714285714</v>
      </c>
      <c r="K15" s="15">
        <f>IFERROR(IF(MAX(Regional_Indicators!$K$9:$K$20)=MIN(Regional_Indicators!$K$9:$K$20),0,(MAX(Regional_Indicators!$K$9:$K$20)-Regional_Indicators!K20)/(MAX(Regional_Indicators!$K$9:$K$20)-MIN(Regional_Indicators!$K$9:$K$20))),"")</f>
        <v>0.96153846153846156</v>
      </c>
      <c r="L15" s="15">
        <f>IFERROR(IF(MAX(Regional_Indicators!$L$9:$L$20)=MIN(Regional_Indicators!$L$9:$L$20),0,(Regional_Indicators!L20-MIN(Regional_Indicators!$L$9:$L$20))/(MAX(Regional_Indicators!$L$9:$L$20)-MIN(Regional_Indicators!$L$9:$L$20))),"")</f>
        <v>1</v>
      </c>
    </row>
  </sheetData>
  <mergeCells count="1">
    <mergeCell ref="A1:M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
  <sheetViews>
    <sheetView zoomScaleNormal="100" workbookViewId="0">
      <pane xSplit="1" ySplit="4" topLeftCell="B5" activePane="bottomRight" state="frozen"/>
      <selection pane="bottomRight"/>
      <selection pane="bottomLeft" activeCell="A5" sqref="A5"/>
      <selection pane="topRight" activeCell="B1" sqref="B1"/>
    </sheetView>
  </sheetViews>
  <sheetFormatPr defaultColWidth="8.5703125" defaultRowHeight="14.45"/>
  <cols>
    <col min="1" max="1" width="32" customWidth="1"/>
    <col min="2" max="6" width="14" customWidth="1"/>
    <col min="7" max="7" width="8" customWidth="1"/>
  </cols>
  <sheetData>
    <row r="1" spans="1:7" ht="17.25" customHeight="1">
      <c r="A1" s="32" t="s">
        <v>186</v>
      </c>
      <c r="B1" s="32"/>
      <c r="C1" s="32"/>
      <c r="D1" s="32"/>
      <c r="E1" s="32"/>
      <c r="F1" s="32"/>
      <c r="G1" s="32"/>
    </row>
    <row r="2" spans="1:7" ht="15" customHeight="1">
      <c r="A2" s="35" t="s">
        <v>187</v>
      </c>
      <c r="B2" s="35"/>
      <c r="C2" s="35"/>
      <c r="D2" s="35"/>
      <c r="E2" s="35"/>
      <c r="F2" s="35"/>
      <c r="G2" s="35"/>
    </row>
    <row r="4" spans="1:7" ht="15" customHeight="1">
      <c r="A4" s="3" t="s">
        <v>145</v>
      </c>
      <c r="B4" s="3" t="s">
        <v>133</v>
      </c>
      <c r="C4" s="3" t="s">
        <v>135</v>
      </c>
      <c r="D4" s="3" t="s">
        <v>137</v>
      </c>
      <c r="E4" s="3" t="s">
        <v>139</v>
      </c>
      <c r="F4" s="3" t="s">
        <v>141</v>
      </c>
      <c r="G4" s="3" t="s">
        <v>188</v>
      </c>
    </row>
    <row r="5" spans="1:7" ht="15" customHeight="1">
      <c r="A5" s="7" t="s">
        <v>173</v>
      </c>
      <c r="B5" s="15">
        <f>IFERROR(AVERAGE(Regional_Normalized!B4,Regional_Normalized!C4,Regional_Normalized!D4),"")</f>
        <v>0.12121212121212122</v>
      </c>
      <c r="C5" s="15">
        <f>IFERROR(AVERAGE(Regional_Normalized!F4,Regional_Normalized!G4,Regional_Normalized!L4),"")</f>
        <v>0.30555555555555558</v>
      </c>
      <c r="D5" s="15">
        <f>IFERROR(AVERAGE(Regional_Normalized!E4),"")</f>
        <v>0.77360088605120858</v>
      </c>
      <c r="E5" s="15">
        <f>IFERROR(AVERAGE(Regional_Normalized!I4,Regional_Normalized!J4,Regional_Normalized!K4),"")</f>
        <v>0.2304761904761905</v>
      </c>
      <c r="F5" s="16">
        <f t="shared" ref="F5:F16" si="0">wE*B5+wS*C5+wAC*(D5)+wT*(E5)</f>
        <v>0.33055495354501807</v>
      </c>
      <c r="G5" s="20">
        <f t="shared" ref="G5:G16" si="1">RANK(F5,$F$5:$F$16,0)</f>
        <v>12</v>
      </c>
    </row>
    <row r="6" spans="1:7" ht="15" customHeight="1">
      <c r="A6" s="7" t="s">
        <v>174</v>
      </c>
      <c r="B6" s="15">
        <f>IFERROR(AVERAGE(Regional_Normalized!B5,Regional_Normalized!C5,Regional_Normalized!D5),"")</f>
        <v>0.41212121212121217</v>
      </c>
      <c r="C6" s="15">
        <f>IFERROR(AVERAGE(Regional_Normalized!F5,Regional_Normalized!G5,Regional_Normalized!L5),"")</f>
        <v>0.59523809523809523</v>
      </c>
      <c r="D6" s="15">
        <f>IFERROR(AVERAGE(Regional_Normalized!E5),"")</f>
        <v>0.86644081047625254</v>
      </c>
      <c r="E6" s="15">
        <f>IFERROR(AVERAGE(Regional_Normalized!I5,Regional_Normalized!J5,Regional_Normalized!K5),"")</f>
        <v>0.42498168498168498</v>
      </c>
      <c r="F6" s="16">
        <f t="shared" si="0"/>
        <v>0.55262249442958289</v>
      </c>
      <c r="G6" s="20">
        <f t="shared" si="1"/>
        <v>8</v>
      </c>
    </row>
    <row r="7" spans="1:7" ht="15" customHeight="1">
      <c r="A7" s="7" t="s">
        <v>175</v>
      </c>
      <c r="B7" s="15">
        <f>IFERROR(AVERAGE(Regional_Normalized!B6,Regional_Normalized!C6,Regional_Normalized!D6),"")</f>
        <v>0.14837092731829574</v>
      </c>
      <c r="C7" s="15">
        <f>IFERROR(AVERAGE(Regional_Normalized!F6,Regional_Normalized!G6,Regional_Normalized!L6),"")</f>
        <v>0.47883597883597878</v>
      </c>
      <c r="D7" s="15">
        <f>IFERROR(AVERAGE(Regional_Normalized!E6),"")</f>
        <v>0.88109974591178575</v>
      </c>
      <c r="E7" s="15">
        <f>IFERROR(AVERAGE(Regional_Normalized!I6,Regional_Normalized!J6,Regional_Normalized!K6),"")</f>
        <v>0.58695970695970701</v>
      </c>
      <c r="F7" s="16">
        <f t="shared" si="0"/>
        <v>0.50910958780883786</v>
      </c>
      <c r="G7" s="20">
        <f t="shared" si="1"/>
        <v>9</v>
      </c>
    </row>
    <row r="8" spans="1:7" ht="15" customHeight="1">
      <c r="A8" s="7" t="s">
        <v>176</v>
      </c>
      <c r="B8" s="15">
        <f>IFERROR(AVERAGE(Regional_Normalized!B7,Regional_Normalized!C7,Regional_Normalized!D7),"")</f>
        <v>0.20519480519480518</v>
      </c>
      <c r="C8" s="15">
        <f>IFERROR(AVERAGE(Regional_Normalized!F7,Regional_Normalized!G7,Regional_Normalized!L7),"")</f>
        <v>0.36772486772486773</v>
      </c>
      <c r="D8" s="15">
        <f>IFERROR(AVERAGE(Regional_Normalized!E7),"")</f>
        <v>0.61684800312723953</v>
      </c>
      <c r="E8" s="15">
        <f>IFERROR(AVERAGE(Regional_Normalized!I7,Regional_Normalized!J7,Regional_Normalized!K7),"")</f>
        <v>0.40300366300366303</v>
      </c>
      <c r="F8" s="16">
        <f t="shared" si="0"/>
        <v>0.38750061775646505</v>
      </c>
      <c r="G8" s="20">
        <f t="shared" si="1"/>
        <v>10</v>
      </c>
    </row>
    <row r="9" spans="1:7" ht="15" customHeight="1">
      <c r="A9" s="7" t="s">
        <v>177</v>
      </c>
      <c r="B9" s="15">
        <f>IFERROR(AVERAGE(Regional_Normalized!B8,Regional_Normalized!C8,Regional_Normalized!D8),"")</f>
        <v>0.29806334016860331</v>
      </c>
      <c r="C9" s="15">
        <f>IFERROR(AVERAGE(Regional_Normalized!F8,Regional_Normalized!G8,Regional_Normalized!L8),"")</f>
        <v>0.5357142857142857</v>
      </c>
      <c r="D9" s="15">
        <f>IFERROR(AVERAGE(Regional_Normalized!E8),"")</f>
        <v>0.93810671704997073</v>
      </c>
      <c r="E9" s="15">
        <f>IFERROR(AVERAGE(Regional_Normalized!I8,Regional_Normalized!J8,Regional_Normalized!K8),"")</f>
        <v>0.69956043956043956</v>
      </c>
      <c r="F9" s="16">
        <f t="shared" si="0"/>
        <v>0.60593388174884821</v>
      </c>
      <c r="G9" s="20">
        <f t="shared" si="1"/>
        <v>6</v>
      </c>
    </row>
    <row r="10" spans="1:7" ht="15" customHeight="1">
      <c r="A10" s="7" t="s">
        <v>178</v>
      </c>
      <c r="B10" s="15">
        <f>IFERROR(AVERAGE(Regional_Normalized!B9,Regional_Normalized!C9,Regional_Normalized!D9),"")</f>
        <v>0.32631578947368411</v>
      </c>
      <c r="C10" s="15">
        <f>IFERROR(AVERAGE(Regional_Normalized!F9,Regional_Normalized!G9,Regional_Normalized!L9),"")</f>
        <v>0.38095238095238093</v>
      </c>
      <c r="D10" s="15">
        <f>IFERROR(AVERAGE(Regional_Normalized!E9),"")</f>
        <v>0.42346406932047692</v>
      </c>
      <c r="E10" s="15">
        <f>IFERROR(AVERAGE(Regional_Normalized!I9,Regional_Normalized!J9,Regional_Normalized!K9),"")</f>
        <v>0.27435897435897433</v>
      </c>
      <c r="F10" s="16">
        <f t="shared" si="0"/>
        <v>0.34381754877830395</v>
      </c>
      <c r="G10" s="20">
        <f t="shared" si="1"/>
        <v>11</v>
      </c>
    </row>
    <row r="11" spans="1:7" ht="15" customHeight="1">
      <c r="A11" s="7" t="s">
        <v>179</v>
      </c>
      <c r="B11" s="15">
        <f>IFERROR(AVERAGE(Regional_Normalized!B10,Regional_Normalized!C10,Regional_Normalized!D10),"")</f>
        <v>0.56290726817042602</v>
      </c>
      <c r="C11" s="15">
        <f>IFERROR(AVERAGE(Regional_Normalized!F10,Regional_Normalized!G10,Regional_Normalized!L10),"")</f>
        <v>0.50396825396825395</v>
      </c>
      <c r="D11" s="15">
        <f>IFERROR(AVERAGE(Regional_Normalized!E10),"")</f>
        <v>0.94901948009642323</v>
      </c>
      <c r="E11" s="15">
        <f>IFERROR(AVERAGE(Regional_Normalized!I10,Regional_Normalized!J10,Regional_Normalized!K10),"")</f>
        <v>0.61355311355311348</v>
      </c>
      <c r="F11" s="16">
        <f t="shared" si="0"/>
        <v>0.64058871061988865</v>
      </c>
      <c r="G11" s="20">
        <f t="shared" si="1"/>
        <v>4</v>
      </c>
    </row>
    <row r="12" spans="1:7" ht="15" customHeight="1">
      <c r="A12" s="7" t="s">
        <v>180</v>
      </c>
      <c r="B12" s="15">
        <f>IFERROR(AVERAGE(Regional_Normalized!B11,Regional_Normalized!C11,Regional_Normalized!D11),"")</f>
        <v>0.78528138528138525</v>
      </c>
      <c r="C12" s="15">
        <f>IFERROR(AVERAGE(Regional_Normalized!F11,Regional_Normalized!G11,Regional_Normalized!L11),"")</f>
        <v>0.58201058201058198</v>
      </c>
      <c r="D12" s="15">
        <f>IFERROR(AVERAGE(Regional_Normalized!E11),"")</f>
        <v>1</v>
      </c>
      <c r="E12" s="15">
        <f>IFERROR(AVERAGE(Regional_Normalized!I11,Regional_Normalized!J11,Regional_Normalized!K11),"")</f>
        <v>0.7615384615384615</v>
      </c>
      <c r="F12" s="16">
        <f t="shared" si="0"/>
        <v>0.77028453028453026</v>
      </c>
      <c r="G12" s="20">
        <f t="shared" si="1"/>
        <v>1</v>
      </c>
    </row>
    <row r="13" spans="1:7" ht="15" customHeight="1">
      <c r="A13" s="7" t="s">
        <v>181</v>
      </c>
      <c r="B13" s="15">
        <f>IFERROR(AVERAGE(Regional_Normalized!B12,Regional_Normalized!C12,Regional_Normalized!D12),"")</f>
        <v>0.61289587605377072</v>
      </c>
      <c r="C13" s="15">
        <f>IFERROR(AVERAGE(Regional_Normalized!F12,Regional_Normalized!G12,Regional_Normalized!L12),"")</f>
        <v>0.61375661375661383</v>
      </c>
      <c r="D13" s="15">
        <f>IFERROR(AVERAGE(Regional_Normalized!E12),"")</f>
        <v>0.81106260994201573</v>
      </c>
      <c r="E13" s="15">
        <f>IFERROR(AVERAGE(Regional_Normalized!I12,Regional_Normalized!J12,Regional_Normalized!K12),"")</f>
        <v>0.39765567765567766</v>
      </c>
      <c r="F13" s="16">
        <f t="shared" si="0"/>
        <v>0.58817234773770255</v>
      </c>
      <c r="G13" s="20">
        <f t="shared" si="1"/>
        <v>7</v>
      </c>
    </row>
    <row r="14" spans="1:7" ht="15" customHeight="1">
      <c r="A14" s="7" t="s">
        <v>182</v>
      </c>
      <c r="B14" s="15">
        <f>IFERROR(AVERAGE(Regional_Normalized!B13,Regional_Normalized!C13,Regional_Normalized!D13),"")</f>
        <v>0.75807701070858968</v>
      </c>
      <c r="C14" s="15">
        <f>IFERROR(AVERAGE(Regional_Normalized!F13,Regional_Normalized!G13,Regional_Normalized!L13),"")</f>
        <v>0.64285714285714279</v>
      </c>
      <c r="D14" s="15">
        <f>IFERROR(AVERAGE(Regional_Normalized!E13),"")</f>
        <v>0.59554368362759791</v>
      </c>
      <c r="E14" s="15">
        <f>IFERROR(AVERAGE(Regional_Normalized!I13,Regional_Normalized!J13,Regional_Normalized!K13),"")</f>
        <v>0.85714285714285721</v>
      </c>
      <c r="F14" s="16">
        <f t="shared" si="0"/>
        <v>0.72648513225980982</v>
      </c>
      <c r="G14" s="20">
        <f t="shared" si="1"/>
        <v>2</v>
      </c>
    </row>
    <row r="15" spans="1:7" ht="15" customHeight="1">
      <c r="A15" s="7" t="s">
        <v>183</v>
      </c>
      <c r="B15" s="15">
        <f>IFERROR(AVERAGE(Regional_Normalized!B14,Regional_Normalized!C14,Regional_Normalized!D14),"")</f>
        <v>0.92859421280473919</v>
      </c>
      <c r="C15" s="15">
        <f>IFERROR(AVERAGE(Regional_Normalized!F14,Regional_Normalized!G14,Regional_Normalized!L14),"")</f>
        <v>0.67989417989417988</v>
      </c>
      <c r="D15" s="15">
        <f>IFERROR(AVERAGE(Regional_Normalized!E14),"")</f>
        <v>0.15880513388494363</v>
      </c>
      <c r="E15" s="15">
        <f>IFERROR(AVERAGE(Regional_Normalized!I14,Regional_Normalized!J14,Regional_Normalized!K14),"")</f>
        <v>0.75835164835164848</v>
      </c>
      <c r="F15" s="16">
        <f t="shared" si="0"/>
        <v>0.66138861945721306</v>
      </c>
      <c r="G15" s="20">
        <f t="shared" si="1"/>
        <v>3</v>
      </c>
    </row>
    <row r="16" spans="1:7" ht="15" customHeight="1">
      <c r="A16" s="7" t="s">
        <v>184</v>
      </c>
      <c r="B16" s="15">
        <f>IFERROR(AVERAGE(Regional_Normalized!B15,Regional_Normalized!C15,Regional_Normalized!D15),"")</f>
        <v>1</v>
      </c>
      <c r="C16" s="15">
        <f>IFERROR(AVERAGE(Regional_Normalized!F15,Regional_Normalized!G15,Regional_Normalized!L15),"")</f>
        <v>0.66666666666666663</v>
      </c>
      <c r="D16" s="15">
        <f>IFERROR(AVERAGE(Regional_Normalized!E15),"")</f>
        <v>0</v>
      </c>
      <c r="E16" s="15">
        <f>IFERROR(AVERAGE(Regional_Normalized!I15,Regional_Normalized!J15,Regional_Normalized!K15),"")</f>
        <v>0.71098901098901102</v>
      </c>
      <c r="F16" s="16">
        <f t="shared" si="0"/>
        <v>0.62996336996336999</v>
      </c>
      <c r="G16" s="20">
        <f t="shared" si="1"/>
        <v>5</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8"/>
  <sheetViews>
    <sheetView zoomScaleNormal="100" workbookViewId="0">
      <pane ySplit="4" topLeftCell="A5" activePane="bottomLeft" state="frozen"/>
      <selection pane="bottomLeft" activeCell="A25" sqref="A25:B26"/>
    </sheetView>
  </sheetViews>
  <sheetFormatPr defaultColWidth="8.5703125" defaultRowHeight="14.45"/>
  <cols>
    <col min="1" max="1" width="16" customWidth="1"/>
    <col min="2" max="2" width="38" customWidth="1"/>
    <col min="3" max="3" width="14" customWidth="1"/>
    <col min="4" max="4" width="6" customWidth="1"/>
    <col min="5" max="5" width="8" customWidth="1"/>
    <col min="6" max="6" width="11" customWidth="1"/>
    <col min="7" max="7" width="38" customWidth="1"/>
    <col min="8" max="8" width="50" customWidth="1"/>
    <col min="9" max="9" width="70" customWidth="1"/>
  </cols>
  <sheetData>
    <row r="1" spans="1:9" ht="17.25" customHeight="1">
      <c r="A1" s="32" t="s">
        <v>189</v>
      </c>
      <c r="B1" s="32"/>
      <c r="C1" s="32"/>
      <c r="D1" s="32"/>
      <c r="E1" s="32"/>
      <c r="F1" s="32"/>
      <c r="G1" s="32"/>
      <c r="H1" s="32"/>
      <c r="I1" s="32"/>
    </row>
    <row r="2" spans="1:9" ht="15" customHeight="1">
      <c r="A2" s="35" t="s">
        <v>190</v>
      </c>
      <c r="B2" s="35"/>
      <c r="C2" s="35"/>
      <c r="D2" s="35"/>
      <c r="E2" s="35"/>
      <c r="F2" s="35"/>
      <c r="G2" s="35"/>
      <c r="H2" s="35"/>
      <c r="I2" s="35"/>
    </row>
    <row r="4" spans="1:9" ht="15" customHeight="1">
      <c r="A4" s="9" t="s">
        <v>24</v>
      </c>
      <c r="B4" s="9" t="s">
        <v>191</v>
      </c>
      <c r="C4" s="9" t="s">
        <v>38</v>
      </c>
      <c r="D4" s="9" t="s">
        <v>39</v>
      </c>
      <c r="E4" s="9" t="s">
        <v>23</v>
      </c>
      <c r="F4" s="9" t="s">
        <v>192</v>
      </c>
      <c r="G4" s="9" t="s">
        <v>193</v>
      </c>
      <c r="H4" s="9" t="s">
        <v>194</v>
      </c>
      <c r="I4" s="9" t="s">
        <v>195</v>
      </c>
    </row>
    <row r="5" spans="1:9" ht="15" customHeight="1">
      <c r="A5" s="34" t="s">
        <v>196</v>
      </c>
      <c r="B5" s="34"/>
      <c r="C5" s="34"/>
      <c r="D5" s="34"/>
      <c r="E5" s="34"/>
      <c r="F5" s="34"/>
      <c r="G5" s="34"/>
      <c r="H5" s="34"/>
      <c r="I5" s="34"/>
    </row>
    <row r="6" spans="1:9" ht="79.5" customHeight="1">
      <c r="A6" s="21" t="s">
        <v>65</v>
      </c>
      <c r="B6" s="22" t="s">
        <v>66</v>
      </c>
      <c r="C6" s="22" t="s">
        <v>67</v>
      </c>
      <c r="D6" s="23" t="s">
        <v>68</v>
      </c>
      <c r="E6" s="23" t="s">
        <v>69</v>
      </c>
      <c r="F6" s="23" t="s">
        <v>197</v>
      </c>
      <c r="G6" s="24" t="s">
        <v>198</v>
      </c>
      <c r="H6" s="25" t="s">
        <v>199</v>
      </c>
      <c r="I6" s="24" t="s">
        <v>200</v>
      </c>
    </row>
    <row r="7" spans="1:9" ht="63.75" customHeight="1">
      <c r="A7" s="21" t="s">
        <v>70</v>
      </c>
      <c r="B7" s="22" t="s">
        <v>201</v>
      </c>
      <c r="C7" s="22" t="s">
        <v>67</v>
      </c>
      <c r="D7" s="23" t="s">
        <v>68</v>
      </c>
      <c r="E7" s="23" t="s">
        <v>69</v>
      </c>
      <c r="F7" s="23" t="s">
        <v>197</v>
      </c>
      <c r="G7" s="24" t="s">
        <v>202</v>
      </c>
      <c r="H7" s="25" t="s">
        <v>199</v>
      </c>
      <c r="I7" s="24" t="s">
        <v>203</v>
      </c>
    </row>
    <row r="8" spans="1:9" ht="79.5" customHeight="1">
      <c r="A8" s="21" t="s">
        <v>72</v>
      </c>
      <c r="B8" s="22" t="s">
        <v>73</v>
      </c>
      <c r="C8" s="22" t="s">
        <v>74</v>
      </c>
      <c r="D8" s="23" t="s">
        <v>75</v>
      </c>
      <c r="E8" s="23" t="s">
        <v>69</v>
      </c>
      <c r="F8" s="23" t="s">
        <v>197</v>
      </c>
      <c r="G8" s="24" t="s">
        <v>198</v>
      </c>
      <c r="H8" s="25" t="s">
        <v>199</v>
      </c>
      <c r="I8" s="24" t="s">
        <v>204</v>
      </c>
    </row>
    <row r="9" spans="1:9" ht="48" customHeight="1">
      <c r="A9" s="21" t="s">
        <v>76</v>
      </c>
      <c r="B9" s="22" t="s">
        <v>205</v>
      </c>
      <c r="C9" s="22" t="s">
        <v>78</v>
      </c>
      <c r="D9" s="23" t="s">
        <v>75</v>
      </c>
      <c r="E9" s="23" t="s">
        <v>69</v>
      </c>
      <c r="F9" s="23" t="s">
        <v>197</v>
      </c>
      <c r="G9" s="24" t="s">
        <v>206</v>
      </c>
      <c r="H9" s="25" t="s">
        <v>207</v>
      </c>
      <c r="I9" s="24" t="s">
        <v>208</v>
      </c>
    </row>
    <row r="10" spans="1:9" ht="79.5" customHeight="1">
      <c r="A10" s="21" t="s">
        <v>79</v>
      </c>
      <c r="B10" s="22" t="s">
        <v>80</v>
      </c>
      <c r="C10" s="22" t="s">
        <v>81</v>
      </c>
      <c r="D10" s="23" t="s">
        <v>68</v>
      </c>
      <c r="E10" s="23" t="s">
        <v>69</v>
      </c>
      <c r="F10" s="23" t="s">
        <v>197</v>
      </c>
      <c r="G10" s="24" t="s">
        <v>209</v>
      </c>
      <c r="H10" s="25" t="s">
        <v>199</v>
      </c>
      <c r="I10" s="24" t="s">
        <v>210</v>
      </c>
    </row>
    <row r="11" spans="1:9" ht="79.5" customHeight="1">
      <c r="A11" s="21" t="s">
        <v>82</v>
      </c>
      <c r="B11" s="22" t="s">
        <v>83</v>
      </c>
      <c r="C11" s="22" t="s">
        <v>84</v>
      </c>
      <c r="D11" s="23" t="s">
        <v>68</v>
      </c>
      <c r="E11" s="23" t="s">
        <v>85</v>
      </c>
      <c r="F11" s="23" t="s">
        <v>197</v>
      </c>
      <c r="G11" s="24" t="s">
        <v>211</v>
      </c>
      <c r="H11" s="25" t="s">
        <v>212</v>
      </c>
      <c r="I11" s="24" t="s">
        <v>213</v>
      </c>
    </row>
    <row r="12" spans="1:9" ht="63.75" customHeight="1">
      <c r="A12" s="21" t="s">
        <v>86</v>
      </c>
      <c r="B12" s="22" t="s">
        <v>87</v>
      </c>
      <c r="C12" s="22" t="s">
        <v>214</v>
      </c>
      <c r="D12" s="23" t="s">
        <v>68</v>
      </c>
      <c r="E12" s="23" t="s">
        <v>85</v>
      </c>
      <c r="F12" s="23" t="s">
        <v>197</v>
      </c>
      <c r="G12" s="24" t="s">
        <v>215</v>
      </c>
      <c r="H12" s="25" t="s">
        <v>216</v>
      </c>
      <c r="I12" s="24" t="s">
        <v>217</v>
      </c>
    </row>
    <row r="13" spans="1:9" ht="63.75" customHeight="1">
      <c r="A13" s="21" t="s">
        <v>89</v>
      </c>
      <c r="B13" s="22" t="s">
        <v>90</v>
      </c>
      <c r="C13" s="22" t="s">
        <v>218</v>
      </c>
      <c r="D13" s="23" t="s">
        <v>75</v>
      </c>
      <c r="E13" s="23" t="s">
        <v>85</v>
      </c>
      <c r="F13" s="23" t="s">
        <v>197</v>
      </c>
      <c r="G13" s="24" t="s">
        <v>219</v>
      </c>
      <c r="H13" s="25" t="s">
        <v>220</v>
      </c>
      <c r="I13" s="24" t="s">
        <v>221</v>
      </c>
    </row>
    <row r="14" spans="1:9" ht="63.75" customHeight="1">
      <c r="A14" s="21" t="s">
        <v>92</v>
      </c>
      <c r="B14" s="22" t="s">
        <v>93</v>
      </c>
      <c r="C14" s="22" t="s">
        <v>222</v>
      </c>
      <c r="D14" s="23" t="s">
        <v>68</v>
      </c>
      <c r="E14" s="23" t="s">
        <v>85</v>
      </c>
      <c r="F14" s="23" t="s">
        <v>197</v>
      </c>
      <c r="G14" s="24" t="s">
        <v>223</v>
      </c>
      <c r="H14" s="25" t="s">
        <v>224</v>
      </c>
      <c r="I14" s="24" t="s">
        <v>225</v>
      </c>
    </row>
    <row r="15" spans="1:9" ht="63.75" customHeight="1">
      <c r="A15" s="21" t="s">
        <v>94</v>
      </c>
      <c r="B15" s="22" t="s">
        <v>95</v>
      </c>
      <c r="C15" s="22" t="s">
        <v>226</v>
      </c>
      <c r="D15" s="23" t="s">
        <v>75</v>
      </c>
      <c r="E15" s="23" t="s">
        <v>97</v>
      </c>
      <c r="F15" s="23" t="s">
        <v>197</v>
      </c>
      <c r="G15" s="24" t="s">
        <v>227</v>
      </c>
      <c r="H15" s="25" t="s">
        <v>228</v>
      </c>
      <c r="I15" s="24" t="s">
        <v>229</v>
      </c>
    </row>
    <row r="16" spans="1:9" ht="79.5" customHeight="1">
      <c r="A16" s="21" t="s">
        <v>98</v>
      </c>
      <c r="B16" s="22" t="s">
        <v>99</v>
      </c>
      <c r="C16" s="22" t="s">
        <v>100</v>
      </c>
      <c r="D16" s="23" t="s">
        <v>75</v>
      </c>
      <c r="E16" s="23" t="s">
        <v>97</v>
      </c>
      <c r="F16" s="23" t="s">
        <v>197</v>
      </c>
      <c r="G16" s="24" t="s">
        <v>230</v>
      </c>
      <c r="H16" s="25" t="s">
        <v>231</v>
      </c>
      <c r="I16" s="24" t="s">
        <v>232</v>
      </c>
    </row>
    <row r="17" spans="1:9" ht="79.5" customHeight="1">
      <c r="A17" s="21" t="s">
        <v>101</v>
      </c>
      <c r="B17" s="22" t="s">
        <v>102</v>
      </c>
      <c r="C17" s="22" t="s">
        <v>103</v>
      </c>
      <c r="D17" s="23" t="s">
        <v>75</v>
      </c>
      <c r="E17" s="23" t="s">
        <v>97</v>
      </c>
      <c r="F17" s="23" t="s">
        <v>197</v>
      </c>
      <c r="G17" s="24" t="s">
        <v>233</v>
      </c>
      <c r="H17" s="25" t="s">
        <v>234</v>
      </c>
      <c r="I17" s="24" t="s">
        <v>235</v>
      </c>
    </row>
    <row r="18" spans="1:9" ht="63.75" customHeight="1">
      <c r="A18" s="21" t="s">
        <v>104</v>
      </c>
      <c r="B18" s="22" t="s">
        <v>105</v>
      </c>
      <c r="C18" s="22" t="s">
        <v>236</v>
      </c>
      <c r="D18" s="23" t="s">
        <v>75</v>
      </c>
      <c r="E18" s="23" t="s">
        <v>107</v>
      </c>
      <c r="F18" s="23" t="s">
        <v>197</v>
      </c>
      <c r="G18" s="24" t="s">
        <v>237</v>
      </c>
      <c r="H18" s="25" t="s">
        <v>238</v>
      </c>
      <c r="I18" s="24" t="s">
        <v>239</v>
      </c>
    </row>
    <row r="19" spans="1:9" ht="63.75" customHeight="1">
      <c r="A19" s="21" t="s">
        <v>108</v>
      </c>
      <c r="B19" s="22" t="s">
        <v>109</v>
      </c>
      <c r="C19" s="22" t="s">
        <v>110</v>
      </c>
      <c r="D19" s="23" t="s">
        <v>75</v>
      </c>
      <c r="E19" s="23" t="s">
        <v>107</v>
      </c>
      <c r="F19" s="23" t="s">
        <v>197</v>
      </c>
      <c r="G19" s="24" t="s">
        <v>240</v>
      </c>
      <c r="H19" s="25" t="s">
        <v>241</v>
      </c>
      <c r="I19" s="24" t="s">
        <v>242</v>
      </c>
    </row>
    <row r="20" spans="1:9" ht="79.5" customHeight="1">
      <c r="A20" s="21" t="s">
        <v>111</v>
      </c>
      <c r="B20" s="22" t="s">
        <v>112</v>
      </c>
      <c r="C20" s="22" t="s">
        <v>84</v>
      </c>
      <c r="D20" s="23" t="s">
        <v>75</v>
      </c>
      <c r="E20" s="23" t="s">
        <v>107</v>
      </c>
      <c r="F20" s="23" t="s">
        <v>197</v>
      </c>
      <c r="G20" s="24" t="s">
        <v>243</v>
      </c>
      <c r="H20" s="25" t="s">
        <v>244</v>
      </c>
      <c r="I20" s="24" t="s">
        <v>245</v>
      </c>
    </row>
    <row r="21" spans="1:9" ht="63.75" customHeight="1">
      <c r="A21" s="21" t="s">
        <v>113</v>
      </c>
      <c r="B21" s="22" t="s">
        <v>114</v>
      </c>
      <c r="C21" s="22" t="s">
        <v>115</v>
      </c>
      <c r="D21" s="23" t="s">
        <v>75</v>
      </c>
      <c r="E21" s="23" t="s">
        <v>107</v>
      </c>
      <c r="F21" s="23" t="s">
        <v>197</v>
      </c>
      <c r="G21" s="24" t="s">
        <v>246</v>
      </c>
      <c r="H21" s="25" t="s">
        <v>247</v>
      </c>
      <c r="I21" s="24" t="s">
        <v>248</v>
      </c>
    </row>
    <row r="22" spans="1:9" ht="63.75" customHeight="1">
      <c r="A22" s="21" t="s">
        <v>116</v>
      </c>
      <c r="B22" s="22" t="s">
        <v>117</v>
      </c>
      <c r="C22" s="22" t="s">
        <v>118</v>
      </c>
      <c r="D22" s="23" t="s">
        <v>75</v>
      </c>
      <c r="E22" s="23" t="s">
        <v>107</v>
      </c>
      <c r="F22" s="23" t="s">
        <v>197</v>
      </c>
      <c r="G22" s="24" t="s">
        <v>249</v>
      </c>
      <c r="H22" s="25" t="s">
        <v>250</v>
      </c>
      <c r="I22" s="24" t="s">
        <v>251</v>
      </c>
    </row>
    <row r="23" spans="1:9" ht="63.75" customHeight="1">
      <c r="A23" s="21" t="s">
        <v>119</v>
      </c>
      <c r="B23" s="22" t="s">
        <v>120</v>
      </c>
      <c r="C23" s="22" t="s">
        <v>103</v>
      </c>
      <c r="D23" s="23" t="s">
        <v>75</v>
      </c>
      <c r="E23" s="23" t="s">
        <v>107</v>
      </c>
      <c r="F23" s="23" t="s">
        <v>197</v>
      </c>
      <c r="G23" s="24" t="s">
        <v>252</v>
      </c>
      <c r="H23" s="25" t="s">
        <v>253</v>
      </c>
      <c r="I23" s="24" t="s">
        <v>254</v>
      </c>
    </row>
    <row r="24" spans="1:9" ht="63.75" customHeight="1">
      <c r="A24" s="21" t="s">
        <v>121</v>
      </c>
      <c r="B24" s="22" t="s">
        <v>122</v>
      </c>
      <c r="C24" s="22" t="s">
        <v>103</v>
      </c>
      <c r="D24" s="23" t="s">
        <v>75</v>
      </c>
      <c r="E24" s="23" t="s">
        <v>107</v>
      </c>
      <c r="F24" s="23" t="s">
        <v>197</v>
      </c>
      <c r="G24" s="24" t="s">
        <v>255</v>
      </c>
      <c r="H24" s="25" t="s">
        <v>256</v>
      </c>
      <c r="I24" s="24" t="s">
        <v>257</v>
      </c>
    </row>
    <row r="25" spans="1:9" ht="63.75" customHeight="1">
      <c r="A25" s="21" t="s">
        <v>123</v>
      </c>
      <c r="B25" s="22" t="s">
        <v>124</v>
      </c>
      <c r="C25" s="22" t="s">
        <v>100</v>
      </c>
      <c r="D25" s="23" t="s">
        <v>68</v>
      </c>
      <c r="E25" s="23" t="s">
        <v>125</v>
      </c>
      <c r="F25" s="23" t="s">
        <v>197</v>
      </c>
      <c r="G25" s="24" t="s">
        <v>258</v>
      </c>
      <c r="H25" s="25" t="s">
        <v>259</v>
      </c>
      <c r="I25" s="24" t="s">
        <v>260</v>
      </c>
    </row>
    <row r="26" spans="1:9" ht="48" customHeight="1">
      <c r="A26" s="21" t="s">
        <v>126</v>
      </c>
      <c r="B26" s="22" t="s">
        <v>127</v>
      </c>
      <c r="C26" s="22" t="s">
        <v>100</v>
      </c>
      <c r="D26" s="23" t="s">
        <v>75</v>
      </c>
      <c r="E26" s="23" t="s">
        <v>125</v>
      </c>
      <c r="F26" s="23" t="s">
        <v>197</v>
      </c>
      <c r="G26" s="24" t="s">
        <v>258</v>
      </c>
      <c r="H26" s="25" t="s">
        <v>259</v>
      </c>
      <c r="I26" s="24" t="s">
        <v>261</v>
      </c>
    </row>
    <row r="27" spans="1:9" ht="15" customHeight="1">
      <c r="A27" s="34" t="s">
        <v>262</v>
      </c>
      <c r="B27" s="34"/>
      <c r="C27" s="34"/>
      <c r="D27" s="34"/>
      <c r="E27" s="34"/>
      <c r="F27" s="34"/>
      <c r="G27" s="34"/>
      <c r="H27" s="34"/>
      <c r="I27" s="34"/>
    </row>
    <row r="28" spans="1:9" ht="79.5" customHeight="1">
      <c r="A28" s="21" t="s">
        <v>263</v>
      </c>
      <c r="B28" s="22" t="s">
        <v>264</v>
      </c>
      <c r="C28" s="22" t="s">
        <v>67</v>
      </c>
      <c r="D28" s="23" t="s">
        <v>68</v>
      </c>
      <c r="E28" s="23" t="s">
        <v>69</v>
      </c>
      <c r="F28" s="23" t="s">
        <v>265</v>
      </c>
      <c r="G28" s="24" t="s">
        <v>266</v>
      </c>
      <c r="H28" s="25" t="s">
        <v>267</v>
      </c>
      <c r="I28" s="24" t="s">
        <v>268</v>
      </c>
    </row>
    <row r="29" spans="1:9" ht="48" customHeight="1">
      <c r="A29" s="21" t="s">
        <v>269</v>
      </c>
      <c r="B29" s="22" t="s">
        <v>270</v>
      </c>
      <c r="C29" s="22" t="s">
        <v>74</v>
      </c>
      <c r="D29" s="23" t="s">
        <v>75</v>
      </c>
      <c r="E29" s="23" t="s">
        <v>69</v>
      </c>
      <c r="F29" s="23" t="s">
        <v>265</v>
      </c>
      <c r="G29" s="24" t="s">
        <v>266</v>
      </c>
      <c r="H29" s="25" t="s">
        <v>267</v>
      </c>
      <c r="I29" s="24" t="s">
        <v>271</v>
      </c>
    </row>
    <row r="30" spans="1:9" ht="48" customHeight="1">
      <c r="A30" s="21" t="s">
        <v>272</v>
      </c>
      <c r="B30" s="22" t="s">
        <v>273</v>
      </c>
      <c r="C30" s="22" t="s">
        <v>78</v>
      </c>
      <c r="D30" s="23" t="s">
        <v>75</v>
      </c>
      <c r="E30" s="23" t="s">
        <v>69</v>
      </c>
      <c r="F30" s="23" t="s">
        <v>265</v>
      </c>
      <c r="G30" s="24" t="s">
        <v>274</v>
      </c>
      <c r="H30" s="25" t="s">
        <v>207</v>
      </c>
      <c r="I30" s="24" t="s">
        <v>275</v>
      </c>
    </row>
    <row r="31" spans="1:9" ht="63.75" customHeight="1">
      <c r="A31" s="21" t="s">
        <v>276</v>
      </c>
      <c r="B31" s="22" t="s">
        <v>277</v>
      </c>
      <c r="C31" s="22" t="s">
        <v>161</v>
      </c>
      <c r="D31" s="23" t="s">
        <v>75</v>
      </c>
      <c r="E31" s="23" t="s">
        <v>97</v>
      </c>
      <c r="F31" s="23" t="s">
        <v>265</v>
      </c>
      <c r="G31" s="24" t="s">
        <v>278</v>
      </c>
      <c r="H31" s="25" t="s">
        <v>279</v>
      </c>
      <c r="I31" s="24" t="s">
        <v>280</v>
      </c>
    </row>
    <row r="32" spans="1:9" ht="48" customHeight="1">
      <c r="A32" s="21" t="s">
        <v>281</v>
      </c>
      <c r="B32" s="22" t="s">
        <v>153</v>
      </c>
      <c r="C32" s="22" t="s">
        <v>115</v>
      </c>
      <c r="D32" s="23" t="s">
        <v>68</v>
      </c>
      <c r="E32" s="23" t="s">
        <v>85</v>
      </c>
      <c r="F32" s="23" t="s">
        <v>265</v>
      </c>
      <c r="G32" s="24" t="s">
        <v>282</v>
      </c>
      <c r="H32" s="25" t="s">
        <v>279</v>
      </c>
      <c r="I32" s="24" t="s">
        <v>283</v>
      </c>
    </row>
    <row r="33" spans="1:9" ht="63.75" customHeight="1">
      <c r="A33" s="21" t="s">
        <v>284</v>
      </c>
      <c r="B33" s="22" t="s">
        <v>154</v>
      </c>
      <c r="C33" s="22" t="s">
        <v>285</v>
      </c>
      <c r="D33" s="23" t="s">
        <v>68</v>
      </c>
      <c r="E33" s="23" t="s">
        <v>85</v>
      </c>
      <c r="F33" s="23" t="s">
        <v>265</v>
      </c>
      <c r="G33" s="24" t="s">
        <v>286</v>
      </c>
      <c r="H33" s="25" t="s">
        <v>287</v>
      </c>
      <c r="I33" s="24" t="s">
        <v>288</v>
      </c>
    </row>
    <row r="34" spans="1:9" ht="48" customHeight="1">
      <c r="A34" s="21" t="s">
        <v>289</v>
      </c>
      <c r="B34" s="22" t="s">
        <v>155</v>
      </c>
      <c r="C34" s="22" t="s">
        <v>162</v>
      </c>
      <c r="D34" s="23" t="s">
        <v>125</v>
      </c>
      <c r="E34" s="23" t="s">
        <v>125</v>
      </c>
      <c r="F34" s="23" t="s">
        <v>265</v>
      </c>
      <c r="G34" s="24" t="s">
        <v>290</v>
      </c>
      <c r="H34" s="25" t="s">
        <v>287</v>
      </c>
      <c r="I34" s="24" t="s">
        <v>291</v>
      </c>
    </row>
    <row r="35" spans="1:9" ht="63.75" customHeight="1">
      <c r="A35" s="21" t="s">
        <v>292</v>
      </c>
      <c r="B35" s="22" t="s">
        <v>293</v>
      </c>
      <c r="C35" s="22" t="s">
        <v>163</v>
      </c>
      <c r="D35" s="23" t="s">
        <v>75</v>
      </c>
      <c r="E35" s="23" t="s">
        <v>107</v>
      </c>
      <c r="F35" s="23" t="s">
        <v>265</v>
      </c>
      <c r="G35" s="24" t="s">
        <v>294</v>
      </c>
      <c r="H35" s="25" t="s">
        <v>295</v>
      </c>
      <c r="I35" s="24" t="s">
        <v>296</v>
      </c>
    </row>
    <row r="36" spans="1:9" ht="39.75" customHeight="1">
      <c r="A36" s="21" t="s">
        <v>297</v>
      </c>
      <c r="B36" s="22" t="s">
        <v>298</v>
      </c>
      <c r="C36" s="22" t="s">
        <v>110</v>
      </c>
      <c r="D36" s="23" t="s">
        <v>75</v>
      </c>
      <c r="E36" s="23" t="s">
        <v>107</v>
      </c>
      <c r="F36" s="23" t="s">
        <v>265</v>
      </c>
      <c r="G36" s="24" t="s">
        <v>294</v>
      </c>
      <c r="H36" s="25" t="s">
        <v>295</v>
      </c>
      <c r="I36" s="24" t="s">
        <v>299</v>
      </c>
    </row>
    <row r="37" spans="1:9" ht="79.5" customHeight="1">
      <c r="A37" s="21" t="s">
        <v>300</v>
      </c>
      <c r="B37" s="22" t="s">
        <v>301</v>
      </c>
      <c r="C37" s="22" t="s">
        <v>164</v>
      </c>
      <c r="D37" s="23" t="s">
        <v>75</v>
      </c>
      <c r="E37" s="23" t="s">
        <v>107</v>
      </c>
      <c r="F37" s="23" t="s">
        <v>265</v>
      </c>
      <c r="G37" s="24" t="s">
        <v>302</v>
      </c>
      <c r="H37" s="25" t="s">
        <v>303</v>
      </c>
      <c r="I37" s="24" t="s">
        <v>304</v>
      </c>
    </row>
    <row r="38" spans="1:9" ht="79.5" customHeight="1">
      <c r="A38" s="21" t="s">
        <v>305</v>
      </c>
      <c r="B38" s="22" t="s">
        <v>306</v>
      </c>
      <c r="C38" s="22" t="s">
        <v>100</v>
      </c>
      <c r="D38" s="23" t="s">
        <v>68</v>
      </c>
      <c r="E38" s="23" t="s">
        <v>85</v>
      </c>
      <c r="F38" s="23" t="s">
        <v>265</v>
      </c>
      <c r="G38" s="24" t="s">
        <v>307</v>
      </c>
      <c r="H38" s="25" t="s">
        <v>308</v>
      </c>
      <c r="I38" s="24" t="s">
        <v>309</v>
      </c>
    </row>
  </sheetData>
  <mergeCells count="4">
    <mergeCell ref="A1:I1"/>
    <mergeCell ref="A2:I2"/>
    <mergeCell ref="A5:I5"/>
    <mergeCell ref="A27:I27"/>
  </mergeCells>
  <hyperlinks>
    <hyperlink ref="H6" r:id="rId1" xr:uid="{00000000-0004-0000-0800-000000000000}"/>
    <hyperlink ref="H7" r:id="rId2" xr:uid="{00000000-0004-0000-0800-000001000000}"/>
    <hyperlink ref="H8" r:id="rId3" xr:uid="{00000000-0004-0000-0800-000002000000}"/>
    <hyperlink ref="H9" r:id="rId4" xr:uid="{00000000-0004-0000-0800-000003000000}"/>
    <hyperlink ref="H10" r:id="rId5" xr:uid="{00000000-0004-0000-0800-000004000000}"/>
    <hyperlink ref="H11" r:id="rId6" xr:uid="{00000000-0004-0000-0800-000005000000}"/>
    <hyperlink ref="H12" r:id="rId7" xr:uid="{00000000-0004-0000-0800-000006000000}"/>
    <hyperlink ref="H13" r:id="rId8" xr:uid="{00000000-0004-0000-0800-000007000000}"/>
    <hyperlink ref="H14" r:id="rId9" xr:uid="{00000000-0004-0000-0800-000008000000}"/>
    <hyperlink ref="H15" r:id="rId10" xr:uid="{00000000-0004-0000-0800-000009000000}"/>
    <hyperlink ref="H16" r:id="rId11" location="/countries/MAR" xr:uid="{00000000-0004-0000-0800-00000A000000}"/>
    <hyperlink ref="H17" r:id="rId12" xr:uid="{00000000-0004-0000-0800-00000B000000}"/>
    <hyperlink ref="H18" r:id="rId13" xr:uid="{00000000-0004-0000-0800-00000C000000}"/>
    <hyperlink ref="H19" r:id="rId14" xr:uid="{00000000-0004-0000-0800-00000D000000}"/>
    <hyperlink ref="H20" r:id="rId15" xr:uid="{00000000-0004-0000-0800-00000E000000}"/>
    <hyperlink ref="H21" r:id="rId16" xr:uid="{00000000-0004-0000-0800-00000F000000}"/>
    <hyperlink ref="H22" r:id="rId17" xr:uid="{00000000-0004-0000-0800-000010000000}"/>
    <hyperlink ref="H23" r:id="rId18" xr:uid="{00000000-0004-0000-0800-000011000000}"/>
    <hyperlink ref="H24" r:id="rId19" xr:uid="{00000000-0004-0000-0800-000012000000}"/>
    <hyperlink ref="H25" r:id="rId20" xr:uid="{00000000-0004-0000-0800-000013000000}"/>
    <hyperlink ref="H26" r:id="rId21" xr:uid="{00000000-0004-0000-0800-000014000000}"/>
    <hyperlink ref="H28" r:id="rId22" xr:uid="{00000000-0004-0000-0800-000015000000}"/>
    <hyperlink ref="H29" r:id="rId23" xr:uid="{00000000-0004-0000-0800-000016000000}"/>
    <hyperlink ref="H30" r:id="rId24" xr:uid="{00000000-0004-0000-0800-000017000000}"/>
    <hyperlink ref="H31" r:id="rId25" xr:uid="{00000000-0004-0000-0800-000018000000}"/>
    <hyperlink ref="H32" r:id="rId26" xr:uid="{00000000-0004-0000-0800-000019000000}"/>
    <hyperlink ref="H33" r:id="rId27" xr:uid="{00000000-0004-0000-0800-00001A000000}"/>
    <hyperlink ref="H34" r:id="rId28" xr:uid="{00000000-0004-0000-0800-00001B000000}"/>
    <hyperlink ref="H35" r:id="rId29" xr:uid="{00000000-0004-0000-0800-00001C000000}"/>
    <hyperlink ref="H36" r:id="rId30" xr:uid="{00000000-0004-0000-0800-00001D000000}"/>
    <hyperlink ref="H37" r:id="rId31" xr:uid="{00000000-0004-0000-0800-00001E000000}"/>
    <hyperlink ref="H38" r:id="rId32" xr:uid="{00000000-0004-0000-0800-00001F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6"/>
  <sheetViews>
    <sheetView zoomScaleNormal="100" workbookViewId="0">
      <pane ySplit="4" topLeftCell="A5" activePane="bottomLeft" state="frozen"/>
      <selection pane="bottomLeft"/>
    </sheetView>
  </sheetViews>
  <sheetFormatPr defaultColWidth="8.5703125" defaultRowHeight="14.45"/>
  <cols>
    <col min="1" max="1" width="12" customWidth="1"/>
    <col min="2" max="2" width="50" customWidth="1"/>
    <col min="3" max="3" width="30" customWidth="1"/>
    <col min="4" max="4" width="38" customWidth="1"/>
    <col min="5" max="5" width="12" customWidth="1"/>
  </cols>
  <sheetData>
    <row r="1" spans="1:5" ht="18">
      <c r="A1" s="32" t="s">
        <v>310</v>
      </c>
      <c r="B1" s="32"/>
      <c r="C1" s="32"/>
      <c r="D1" s="32"/>
      <c r="E1" s="32"/>
    </row>
    <row r="2" spans="1:5">
      <c r="A2" s="35" t="s">
        <v>311</v>
      </c>
      <c r="B2" s="35"/>
      <c r="C2" s="35"/>
      <c r="D2" s="35"/>
      <c r="E2" s="35"/>
    </row>
    <row r="4" spans="1:5">
      <c r="A4" s="9" t="s">
        <v>312</v>
      </c>
      <c r="B4" s="9" t="s">
        <v>313</v>
      </c>
      <c r="C4" s="9" t="s">
        <v>314</v>
      </c>
      <c r="D4" s="9" t="s">
        <v>315</v>
      </c>
      <c r="E4" s="9" t="s">
        <v>316</v>
      </c>
    </row>
    <row r="5" spans="1:5" ht="30" customHeight="1">
      <c r="A5" s="21" t="s">
        <v>317</v>
      </c>
      <c r="B5" s="24" t="s">
        <v>318</v>
      </c>
      <c r="C5" s="24" t="s">
        <v>319</v>
      </c>
      <c r="D5" s="24" t="s">
        <v>320</v>
      </c>
      <c r="E5" s="26" t="s">
        <v>321</v>
      </c>
    </row>
    <row r="6" spans="1:5" ht="30" customHeight="1">
      <c r="A6" s="21" t="s">
        <v>322</v>
      </c>
      <c r="B6" s="24" t="s">
        <v>323</v>
      </c>
      <c r="C6" s="24" t="s">
        <v>319</v>
      </c>
      <c r="D6" s="24" t="s">
        <v>324</v>
      </c>
      <c r="E6" s="26" t="s">
        <v>321</v>
      </c>
    </row>
    <row r="7" spans="1:5" ht="30" customHeight="1">
      <c r="A7" s="21" t="s">
        <v>325</v>
      </c>
      <c r="B7" s="24" t="s">
        <v>326</v>
      </c>
      <c r="C7" s="24" t="s">
        <v>327</v>
      </c>
      <c r="D7" s="24" t="s">
        <v>328</v>
      </c>
      <c r="E7" s="26" t="s">
        <v>321</v>
      </c>
    </row>
    <row r="8" spans="1:5" ht="30" customHeight="1">
      <c r="A8" s="21" t="s">
        <v>329</v>
      </c>
      <c r="B8" s="24" t="s">
        <v>330</v>
      </c>
      <c r="C8" s="24" t="s">
        <v>327</v>
      </c>
      <c r="D8" s="24" t="s">
        <v>331</v>
      </c>
      <c r="E8" s="26" t="s">
        <v>321</v>
      </c>
    </row>
    <row r="9" spans="1:5" ht="30" customHeight="1">
      <c r="A9" s="21" t="s">
        <v>332</v>
      </c>
      <c r="B9" s="24" t="s">
        <v>333</v>
      </c>
      <c r="C9" s="24" t="s">
        <v>334</v>
      </c>
      <c r="D9" s="24" t="s">
        <v>335</v>
      </c>
      <c r="E9" s="26" t="s">
        <v>321</v>
      </c>
    </row>
    <row r="10" spans="1:5" ht="30" customHeight="1">
      <c r="A10" s="21" t="s">
        <v>336</v>
      </c>
      <c r="B10" s="24" t="s">
        <v>337</v>
      </c>
      <c r="C10" s="24" t="s">
        <v>338</v>
      </c>
      <c r="D10" s="24" t="s">
        <v>339</v>
      </c>
      <c r="E10" s="26" t="s">
        <v>321</v>
      </c>
    </row>
    <row r="11" spans="1:5" ht="30" customHeight="1">
      <c r="A11" s="21" t="s">
        <v>340</v>
      </c>
      <c r="B11" s="24" t="s">
        <v>341</v>
      </c>
      <c r="C11" s="24" t="s">
        <v>342</v>
      </c>
      <c r="D11" s="24" t="s">
        <v>343</v>
      </c>
      <c r="E11" s="26" t="s">
        <v>321</v>
      </c>
    </row>
    <row r="12" spans="1:5" ht="30" customHeight="1">
      <c r="A12" s="21" t="s">
        <v>344</v>
      </c>
      <c r="B12" s="24" t="s">
        <v>345</v>
      </c>
      <c r="C12" s="24" t="s">
        <v>346</v>
      </c>
      <c r="D12" s="24" t="s">
        <v>347</v>
      </c>
      <c r="E12" s="26" t="s">
        <v>321</v>
      </c>
    </row>
    <row r="13" spans="1:5" ht="30" customHeight="1">
      <c r="A13" s="21" t="s">
        <v>348</v>
      </c>
      <c r="B13" s="24" t="s">
        <v>349</v>
      </c>
      <c r="C13" s="24" t="s">
        <v>350</v>
      </c>
      <c r="D13" s="24" t="s">
        <v>351</v>
      </c>
      <c r="E13" s="26" t="s">
        <v>321</v>
      </c>
    </row>
    <row r="14" spans="1:5" ht="30" customHeight="1">
      <c r="A14" s="21" t="s">
        <v>352</v>
      </c>
      <c r="B14" s="24" t="s">
        <v>353</v>
      </c>
      <c r="C14" s="24" t="s">
        <v>354</v>
      </c>
      <c r="D14" s="24" t="s">
        <v>355</v>
      </c>
      <c r="E14" s="26" t="s">
        <v>321</v>
      </c>
    </row>
    <row r="15" spans="1:5" ht="30" customHeight="1">
      <c r="A15" s="21" t="s">
        <v>356</v>
      </c>
      <c r="B15" s="24" t="s">
        <v>357</v>
      </c>
      <c r="C15" s="24" t="s">
        <v>358</v>
      </c>
      <c r="D15" s="24" t="s">
        <v>359</v>
      </c>
      <c r="E15" s="26" t="s">
        <v>321</v>
      </c>
    </row>
    <row r="16" spans="1:5" ht="30" customHeight="1">
      <c r="A16" s="21" t="s">
        <v>360</v>
      </c>
      <c r="B16" s="24" t="s">
        <v>361</v>
      </c>
      <c r="C16" s="24" t="s">
        <v>362</v>
      </c>
      <c r="D16" s="24" t="s">
        <v>362</v>
      </c>
      <c r="E16" s="26" t="s">
        <v>321</v>
      </c>
    </row>
    <row r="17" spans="1:5" ht="30" customHeight="1">
      <c r="A17" s="21" t="s">
        <v>363</v>
      </c>
      <c r="B17" s="24" t="s">
        <v>364</v>
      </c>
      <c r="C17" s="24" t="s">
        <v>184</v>
      </c>
      <c r="D17" s="24" t="s">
        <v>184</v>
      </c>
      <c r="E17" s="26" t="s">
        <v>321</v>
      </c>
    </row>
    <row r="18" spans="1:5" ht="30" customHeight="1">
      <c r="A18" s="21" t="s">
        <v>365</v>
      </c>
      <c r="B18" s="24" t="s">
        <v>366</v>
      </c>
      <c r="C18" s="24" t="s">
        <v>367</v>
      </c>
      <c r="D18" s="24" t="s">
        <v>367</v>
      </c>
      <c r="E18" s="26" t="s">
        <v>321</v>
      </c>
    </row>
    <row r="19" spans="1:5" ht="30" customHeight="1">
      <c r="A19" s="21" t="s">
        <v>368</v>
      </c>
      <c r="B19" s="24" t="s">
        <v>369</v>
      </c>
      <c r="C19" s="24" t="s">
        <v>370</v>
      </c>
      <c r="D19" s="24" t="s">
        <v>371</v>
      </c>
      <c r="E19" s="27" t="s">
        <v>372</v>
      </c>
    </row>
    <row r="20" spans="1:5" ht="30" customHeight="1">
      <c r="A20" s="21" t="s">
        <v>373</v>
      </c>
      <c r="B20" s="24" t="s">
        <v>374</v>
      </c>
      <c r="C20" s="24" t="s">
        <v>375</v>
      </c>
      <c r="D20" s="24" t="s">
        <v>376</v>
      </c>
      <c r="E20" s="26" t="s">
        <v>321</v>
      </c>
    </row>
    <row r="21" spans="1:5" ht="30" customHeight="1">
      <c r="A21" s="21" t="s">
        <v>377</v>
      </c>
      <c r="B21" s="24" t="s">
        <v>378</v>
      </c>
      <c r="C21" s="24" t="s">
        <v>379</v>
      </c>
      <c r="D21" s="24" t="s">
        <v>380</v>
      </c>
      <c r="E21" s="27" t="s">
        <v>372</v>
      </c>
    </row>
    <row r="22" spans="1:5" ht="30" customHeight="1">
      <c r="A22" s="21" t="s">
        <v>381</v>
      </c>
      <c r="B22" s="24" t="s">
        <v>382</v>
      </c>
      <c r="C22" s="24" t="s">
        <v>383</v>
      </c>
      <c r="D22" s="24" t="s">
        <v>384</v>
      </c>
      <c r="E22" s="27" t="s">
        <v>372</v>
      </c>
    </row>
    <row r="23" spans="1:5" ht="30" customHeight="1">
      <c r="A23" s="21" t="s">
        <v>385</v>
      </c>
      <c r="B23" s="24" t="s">
        <v>386</v>
      </c>
      <c r="C23" s="24" t="s">
        <v>387</v>
      </c>
      <c r="D23" s="24" t="s">
        <v>388</v>
      </c>
      <c r="E23" s="26" t="s">
        <v>321</v>
      </c>
    </row>
    <row r="26" spans="1:5">
      <c r="A26" s="34" t="s">
        <v>389</v>
      </c>
      <c r="B26" s="34"/>
      <c r="C26" s="34"/>
      <c r="D26" s="34"/>
      <c r="E26" s="34"/>
    </row>
    <row r="27" spans="1:5">
      <c r="A27" s="4" t="s">
        <v>390</v>
      </c>
      <c r="B27" s="7">
        <v>19</v>
      </c>
    </row>
    <row r="28" spans="1:5">
      <c r="A28" s="4" t="s">
        <v>391</v>
      </c>
      <c r="B28" s="28">
        <v>16</v>
      </c>
    </row>
    <row r="29" spans="1:5">
      <c r="A29" s="4" t="s">
        <v>392</v>
      </c>
      <c r="B29" s="29">
        <v>3</v>
      </c>
    </row>
    <row r="30" spans="1:5">
      <c r="A30" s="4" t="s">
        <v>393</v>
      </c>
      <c r="B30" s="28">
        <v>0</v>
      </c>
    </row>
    <row r="32" spans="1:5">
      <c r="A32" s="34" t="s">
        <v>394</v>
      </c>
      <c r="B32" s="34"/>
      <c r="C32" s="34"/>
      <c r="D32" s="34"/>
      <c r="E32" s="34"/>
    </row>
    <row r="33" spans="1:5" ht="219.75" customHeight="1">
      <c r="A33" s="31" t="s">
        <v>395</v>
      </c>
      <c r="B33" s="31"/>
      <c r="C33" s="31"/>
      <c r="D33" s="31"/>
      <c r="E33" s="31"/>
    </row>
    <row r="35" spans="1:5">
      <c r="A35" s="34" t="s">
        <v>396</v>
      </c>
      <c r="B35" s="34"/>
      <c r="C35" s="34"/>
      <c r="D35" s="34"/>
      <c r="E35" s="34"/>
    </row>
    <row r="36" spans="1:5" ht="90" customHeight="1">
      <c r="A36" s="31" t="s">
        <v>397</v>
      </c>
      <c r="B36" s="31"/>
      <c r="C36" s="31"/>
      <c r="D36" s="31"/>
      <c r="E36" s="31"/>
    </row>
  </sheetData>
  <mergeCells count="7">
    <mergeCell ref="A35:E35"/>
    <mergeCell ref="A36:E36"/>
    <mergeCell ref="A1:E1"/>
    <mergeCell ref="A2:E2"/>
    <mergeCell ref="A26:E26"/>
    <mergeCell ref="A32:E32"/>
    <mergeCell ref="A33:E3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3"/>
  <sheetViews>
    <sheetView zoomScaleNormal="100" workbookViewId="0"/>
  </sheetViews>
  <sheetFormatPr defaultColWidth="8.5703125" defaultRowHeight="14.45"/>
  <cols>
    <col min="1" max="1" width="50" customWidth="1"/>
    <col min="2" max="3" width="60" customWidth="1"/>
  </cols>
  <sheetData>
    <row r="1" spans="1:3" ht="17.25" customHeight="1">
      <c r="A1" s="32" t="s">
        <v>398</v>
      </c>
      <c r="B1" s="32"/>
      <c r="C1" s="32"/>
    </row>
    <row r="3" spans="1:3" ht="15" customHeight="1">
      <c r="A3" s="3" t="s">
        <v>193</v>
      </c>
      <c r="B3" s="3" t="s">
        <v>399</v>
      </c>
      <c r="C3" s="3" t="s">
        <v>400</v>
      </c>
    </row>
    <row r="4" spans="1:3" ht="23.25" customHeight="1">
      <c r="A4" s="1" t="s">
        <v>401</v>
      </c>
      <c r="B4" s="1" t="s">
        <v>402</v>
      </c>
      <c r="C4" s="30" t="s">
        <v>403</v>
      </c>
    </row>
    <row r="5" spans="1:3" ht="15" customHeight="1">
      <c r="A5" s="1" t="s">
        <v>404</v>
      </c>
      <c r="B5" s="1" t="s">
        <v>405</v>
      </c>
      <c r="C5" s="30" t="s">
        <v>406</v>
      </c>
    </row>
    <row r="6" spans="1:3" ht="15" customHeight="1">
      <c r="A6" s="1" t="s">
        <v>407</v>
      </c>
      <c r="B6" s="1" t="s">
        <v>408</v>
      </c>
      <c r="C6" s="30" t="s">
        <v>409</v>
      </c>
    </row>
    <row r="7" spans="1:3" ht="15" customHeight="1">
      <c r="A7" s="1" t="s">
        <v>410</v>
      </c>
      <c r="B7" s="1" t="s">
        <v>411</v>
      </c>
      <c r="C7" s="30" t="s">
        <v>412</v>
      </c>
    </row>
    <row r="8" spans="1:3" ht="15" customHeight="1">
      <c r="A8" s="1" t="s">
        <v>413</v>
      </c>
      <c r="B8" s="1" t="s">
        <v>414</v>
      </c>
      <c r="C8" s="30" t="s">
        <v>415</v>
      </c>
    </row>
    <row r="9" spans="1:3" ht="15" customHeight="1">
      <c r="A9" s="1" t="s">
        <v>416</v>
      </c>
      <c r="B9" s="1" t="s">
        <v>417</v>
      </c>
      <c r="C9" s="30" t="s">
        <v>418</v>
      </c>
    </row>
    <row r="10" spans="1:3" ht="15" customHeight="1">
      <c r="A10" s="1" t="s">
        <v>419</v>
      </c>
      <c r="B10" s="1" t="s">
        <v>420</v>
      </c>
      <c r="C10" s="30" t="s">
        <v>421</v>
      </c>
    </row>
    <row r="11" spans="1:3" ht="15" customHeight="1">
      <c r="A11" s="1" t="s">
        <v>233</v>
      </c>
      <c r="B11" s="1" t="s">
        <v>422</v>
      </c>
      <c r="C11" s="30" t="s">
        <v>423</v>
      </c>
    </row>
    <row r="12" spans="1:3" ht="15" customHeight="1">
      <c r="A12" s="1" t="s">
        <v>243</v>
      </c>
      <c r="B12" s="1" t="s">
        <v>424</v>
      </c>
      <c r="C12" s="30" t="s">
        <v>425</v>
      </c>
    </row>
    <row r="13" spans="1:3" ht="15" customHeight="1">
      <c r="A13" s="1" t="s">
        <v>219</v>
      </c>
      <c r="B13" s="1" t="s">
        <v>426</v>
      </c>
      <c r="C13" s="30" t="s">
        <v>427</v>
      </c>
    </row>
    <row r="14" spans="1:3" ht="15" customHeight="1">
      <c r="A14" s="1" t="s">
        <v>428</v>
      </c>
      <c r="B14" s="1" t="s">
        <v>117</v>
      </c>
      <c r="C14" s="30" t="s">
        <v>429</v>
      </c>
    </row>
    <row r="15" spans="1:3" ht="15" customHeight="1">
      <c r="A15" s="1" t="s">
        <v>430</v>
      </c>
      <c r="B15" s="1" t="s">
        <v>431</v>
      </c>
      <c r="C15" s="30" t="s">
        <v>432</v>
      </c>
    </row>
    <row r="16" spans="1:3" ht="15" customHeight="1">
      <c r="A16" s="1" t="s">
        <v>433</v>
      </c>
      <c r="B16" s="1" t="s">
        <v>434</v>
      </c>
      <c r="C16" s="30" t="s">
        <v>435</v>
      </c>
    </row>
    <row r="17" spans="1:3" ht="15" customHeight="1">
      <c r="A17" s="1" t="s">
        <v>436</v>
      </c>
      <c r="B17" s="1" t="s">
        <v>437</v>
      </c>
      <c r="C17" s="30" t="s">
        <v>438</v>
      </c>
    </row>
    <row r="18" spans="1:3" ht="15" customHeight="1">
      <c r="A18" s="1" t="s">
        <v>439</v>
      </c>
      <c r="B18" s="1" t="s">
        <v>440</v>
      </c>
      <c r="C18" s="30" t="s">
        <v>441</v>
      </c>
    </row>
    <row r="19" spans="1:3" ht="23.25" customHeight="1">
      <c r="A19" s="1" t="s">
        <v>442</v>
      </c>
      <c r="B19" s="1" t="s">
        <v>443</v>
      </c>
      <c r="C19" s="30" t="s">
        <v>444</v>
      </c>
    </row>
    <row r="20" spans="1:3" ht="15" customHeight="1">
      <c r="A20" s="1" t="s">
        <v>445</v>
      </c>
      <c r="B20" s="1" t="s">
        <v>446</v>
      </c>
      <c r="C20" s="30" t="s">
        <v>447</v>
      </c>
    </row>
    <row r="21" spans="1:3" ht="15" customHeight="1">
      <c r="A21" s="1" t="s">
        <v>448</v>
      </c>
      <c r="B21" s="1" t="s">
        <v>449</v>
      </c>
      <c r="C21" s="30" t="s">
        <v>450</v>
      </c>
    </row>
    <row r="22" spans="1:3" ht="15" customHeight="1">
      <c r="A22" s="1" t="s">
        <v>307</v>
      </c>
      <c r="B22" s="1" t="s">
        <v>451</v>
      </c>
      <c r="C22" s="30" t="s">
        <v>452</v>
      </c>
    </row>
    <row r="23" spans="1:3" ht="15" customHeight="1">
      <c r="A23" s="1" t="s">
        <v>453</v>
      </c>
      <c r="B23" s="1" t="s">
        <v>454</v>
      </c>
      <c r="C23" s="30" t="s">
        <v>455</v>
      </c>
    </row>
  </sheetData>
  <mergeCells count="1">
    <mergeCell ref="A1:C1"/>
  </mergeCells>
  <hyperlinks>
    <hyperlink ref="C4" r:id="rId1" xr:uid="{00000000-0004-0000-0A00-000000000000}"/>
    <hyperlink ref="C5" r:id="rId2" xr:uid="{00000000-0004-0000-0A00-000001000000}"/>
    <hyperlink ref="C6" r:id="rId3" xr:uid="{00000000-0004-0000-0A00-000002000000}"/>
    <hyperlink ref="C7" r:id="rId4" xr:uid="{00000000-0004-0000-0A00-000003000000}"/>
    <hyperlink ref="C8" r:id="rId5" xr:uid="{00000000-0004-0000-0A00-000004000000}"/>
    <hyperlink ref="C9" r:id="rId6" xr:uid="{00000000-0004-0000-0A00-000005000000}"/>
    <hyperlink ref="C10" r:id="rId7" xr:uid="{00000000-0004-0000-0A00-000006000000}"/>
    <hyperlink ref="C11" r:id="rId8" xr:uid="{00000000-0004-0000-0A00-000007000000}"/>
    <hyperlink ref="C12" r:id="rId9" xr:uid="{00000000-0004-0000-0A00-000008000000}"/>
    <hyperlink ref="C13" r:id="rId10" xr:uid="{00000000-0004-0000-0A00-000009000000}"/>
    <hyperlink ref="C14" r:id="rId11" xr:uid="{00000000-0004-0000-0A00-00000A000000}"/>
    <hyperlink ref="C15" r:id="rId12" xr:uid="{00000000-0004-0000-0A00-00000B000000}"/>
    <hyperlink ref="C16" r:id="rId13" xr:uid="{00000000-0004-0000-0A00-00000C000000}"/>
    <hyperlink ref="C17" r:id="rId14" xr:uid="{00000000-0004-0000-0A00-00000D000000}"/>
    <hyperlink ref="C18" r:id="rId15" xr:uid="{00000000-0004-0000-0A00-00000E000000}"/>
    <hyperlink ref="C19" r:id="rId16" xr:uid="{00000000-0004-0000-0A00-00000F000000}"/>
    <hyperlink ref="C20" r:id="rId17" xr:uid="{00000000-0004-0000-0A00-000010000000}"/>
    <hyperlink ref="C21" r:id="rId18" xr:uid="{00000000-0004-0000-0A00-000011000000}"/>
    <hyperlink ref="C22" r:id="rId19" xr:uid="{00000000-0004-0000-0A00-000012000000}"/>
    <hyperlink ref="C23" r:id="rId20" xr:uid="{00000000-0004-0000-0A00-000013000000}"/>
  </hyperlink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FBDABA5D98CA40B0A7B8FAA62EFEF5" ma:contentTypeVersion="3" ma:contentTypeDescription="Create a new document." ma:contentTypeScope="" ma:versionID="9968cd40253ec183e8989562557fc591">
  <xsd:schema xmlns:xsd="http://www.w3.org/2001/XMLSchema" xmlns:xs="http://www.w3.org/2001/XMLSchema" xmlns:p="http://schemas.microsoft.com/office/2006/metadata/properties" xmlns:ns2="8d50978a-8b1b-4493-86eb-4d7c4322b8d8" targetNamespace="http://schemas.microsoft.com/office/2006/metadata/properties" ma:root="true" ma:fieldsID="2760af54dedea8b422a3474d7d49e557" ns2:_="">
    <xsd:import namespace="8d50978a-8b1b-4493-86eb-4d7c4322b8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50978a-8b1b-4493-86eb-4d7c4322b8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2F8895-506C-4F39-84C0-94108FE5F674}"/>
</file>

<file path=customXml/itemProps2.xml><?xml version="1.0" encoding="utf-8"?>
<ds:datastoreItem xmlns:ds="http://schemas.openxmlformats.org/officeDocument/2006/customXml" ds:itemID="{91751C3C-D432-467A-A13D-2E9664524BD2}"/>
</file>

<file path=customXml/itemProps3.xml><?xml version="1.0" encoding="utf-8"?>
<ds:datastoreItem xmlns:ds="http://schemas.openxmlformats.org/officeDocument/2006/customXml" ds:itemID="{F19C0A14-43F1-4971-8316-41B1FEAC2C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AYENI, IMONIKHE IRIA</cp:lastModifiedBy>
  <cp:revision>0</cp:revision>
  <dcterms:created xsi:type="dcterms:W3CDTF">2026-04-25T15:01:13Z</dcterms:created>
  <dcterms:modified xsi:type="dcterms:W3CDTF">2026-05-07T10:31:10Z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0x010100CBFBDABA5D98CA40B0A7B8FAA62EFEF5</vt:lpwstr>
  </property>
</Properties>
</file>